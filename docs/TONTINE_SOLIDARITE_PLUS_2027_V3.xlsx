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se de tontine\"/>
    </mc:Choice>
  </mc:AlternateContent>
  <xr:revisionPtr revIDLastSave="0" documentId="13_ncr:1_{7AFAC80C-9728-472D-911B-7AB7427D5ED1}" xr6:coauthVersionLast="47" xr6:coauthVersionMax="47" xr10:uidLastSave="{00000000-0000-0000-0000-000000000000}"/>
  <bookViews>
    <workbookView xWindow="-108" yWindow="-108" windowWidth="23256" windowHeight="12456" tabRatio="500" firstSheet="7" activeTab="10" xr2:uid="{00000000-000D-0000-FFFF-FFFF00000000}"/>
  </bookViews>
  <sheets>
    <sheet name="🏠 ACCUEIL" sheetId="1" r:id="rId1"/>
    <sheet name="⚙️ PARAMÈTRES" sheetId="2" r:id="rId2"/>
    <sheet name="👥 MEMBRES" sheetId="3" r:id="rId3"/>
    <sheet name="💰 COTISATIONS" sheetId="4" r:id="rId4"/>
    <sheet name="🏦 PRÊTS" sheetId="5" r:id="rId5"/>
    <sheet name="🔄 REMBOURSEMENTS" sheetId="6" r:id="rId6"/>
    <sheet name="⚠️ PÉNALITÉS" sheetId="7" r:id="rId7"/>
    <sheet name="🏧 CAISSE" sheetId="8" r:id="rId8"/>
    <sheet name="📋 SOLDE MEMBRES" sheetId="9" r:id="rId9"/>
    <sheet name="📜 CONTRATS" sheetId="10" r:id="rId10"/>
    <sheet name="📊 TABLEAU DE BORD" sheetId="11" r:id="rId11"/>
    <sheet name="🪪 IDENTITÉ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10" l="1"/>
  <c r="E72" i="11" l="1"/>
  <c r="C9" i="10"/>
  <c r="C11" i="10"/>
  <c r="C5" i="10" l="1" a="1"/>
  <c r="C5" i="10" s="1"/>
  <c r="C4" i="10"/>
  <c r="C10" i="10"/>
  <c r="C9" i="4"/>
  <c r="D9" i="4"/>
  <c r="BI4" i="4"/>
  <c r="A2" i="3"/>
  <c r="G7" i="5"/>
  <c r="D6" i="4"/>
  <c r="C4" i="4"/>
  <c r="C4" i="6"/>
  <c r="C8" i="7"/>
  <c r="D5" i="7"/>
  <c r="D7" i="12"/>
  <c r="F72" i="11"/>
  <c r="C28" i="9"/>
  <c r="B4" i="4"/>
  <c r="L4" i="5"/>
  <c r="M4" i="5"/>
  <c r="L53" i="12"/>
  <c r="K53" i="12"/>
  <c r="J53" i="12"/>
  <c r="I53" i="12"/>
  <c r="H53" i="12"/>
  <c r="G53" i="12"/>
  <c r="F53" i="12"/>
  <c r="E53" i="12"/>
  <c r="D53" i="12"/>
  <c r="C53" i="12"/>
  <c r="B53" i="12"/>
  <c r="L52" i="12"/>
  <c r="K52" i="12"/>
  <c r="J52" i="12"/>
  <c r="I52" i="12"/>
  <c r="H52" i="12"/>
  <c r="G52" i="12"/>
  <c r="F52" i="12"/>
  <c r="E52" i="12"/>
  <c r="D52" i="12"/>
  <c r="C52" i="12"/>
  <c r="B52" i="12"/>
  <c r="L51" i="12"/>
  <c r="K51" i="12"/>
  <c r="J51" i="12"/>
  <c r="I51" i="12"/>
  <c r="H51" i="12"/>
  <c r="G51" i="12"/>
  <c r="F51" i="12"/>
  <c r="E51" i="12"/>
  <c r="D51" i="12"/>
  <c r="C51" i="12"/>
  <c r="B51" i="12"/>
  <c r="L50" i="12"/>
  <c r="K50" i="12"/>
  <c r="J50" i="12"/>
  <c r="I50" i="12"/>
  <c r="H50" i="12"/>
  <c r="G50" i="12"/>
  <c r="F50" i="12"/>
  <c r="E50" i="12"/>
  <c r="D50" i="12"/>
  <c r="C50" i="12"/>
  <c r="B50" i="12"/>
  <c r="L49" i="12"/>
  <c r="K49" i="12"/>
  <c r="J49" i="12"/>
  <c r="I49" i="12"/>
  <c r="H49" i="12"/>
  <c r="G49" i="12"/>
  <c r="F49" i="12"/>
  <c r="E49" i="12"/>
  <c r="D49" i="12"/>
  <c r="C49" i="12"/>
  <c r="B49" i="12"/>
  <c r="L48" i="12"/>
  <c r="K48" i="12"/>
  <c r="J48" i="12"/>
  <c r="I48" i="12"/>
  <c r="H48" i="12"/>
  <c r="G48" i="12"/>
  <c r="F48" i="12"/>
  <c r="E48" i="12"/>
  <c r="D48" i="12"/>
  <c r="C48" i="12"/>
  <c r="B48" i="12"/>
  <c r="L47" i="12"/>
  <c r="K47" i="12"/>
  <c r="J47" i="12"/>
  <c r="I47" i="12"/>
  <c r="H47" i="12"/>
  <c r="G47" i="12"/>
  <c r="F47" i="12"/>
  <c r="E47" i="12"/>
  <c r="D47" i="12"/>
  <c r="C47" i="12"/>
  <c r="B47" i="12"/>
  <c r="L46" i="12"/>
  <c r="K46" i="12"/>
  <c r="J46" i="12"/>
  <c r="I46" i="12"/>
  <c r="H46" i="12"/>
  <c r="G46" i="12"/>
  <c r="F46" i="12"/>
  <c r="E46" i="12"/>
  <c r="D46" i="12"/>
  <c r="C46" i="12"/>
  <c r="B46" i="12"/>
  <c r="L45" i="12"/>
  <c r="K45" i="12"/>
  <c r="J45" i="12"/>
  <c r="I45" i="12"/>
  <c r="H45" i="12"/>
  <c r="G45" i="12"/>
  <c r="F45" i="12"/>
  <c r="E45" i="12"/>
  <c r="D45" i="12"/>
  <c r="C45" i="12"/>
  <c r="B45" i="12"/>
  <c r="L44" i="12"/>
  <c r="K44" i="12"/>
  <c r="J44" i="12"/>
  <c r="I44" i="12"/>
  <c r="H44" i="12"/>
  <c r="G44" i="12"/>
  <c r="F44" i="12"/>
  <c r="E44" i="12"/>
  <c r="D44" i="12"/>
  <c r="C44" i="12"/>
  <c r="B44" i="12"/>
  <c r="L43" i="12"/>
  <c r="K43" i="12"/>
  <c r="J43" i="12"/>
  <c r="I43" i="12"/>
  <c r="H43" i="12"/>
  <c r="G43" i="12"/>
  <c r="F43" i="12"/>
  <c r="E43" i="12"/>
  <c r="D43" i="12"/>
  <c r="C43" i="12"/>
  <c r="B43" i="12"/>
  <c r="L42" i="12"/>
  <c r="K42" i="12"/>
  <c r="J42" i="12"/>
  <c r="I42" i="12"/>
  <c r="H42" i="12"/>
  <c r="G42" i="12"/>
  <c r="F42" i="12"/>
  <c r="E42" i="12"/>
  <c r="D42" i="12"/>
  <c r="C42" i="12"/>
  <c r="B42" i="12"/>
  <c r="L41" i="12"/>
  <c r="K41" i="12"/>
  <c r="J41" i="12"/>
  <c r="I41" i="12"/>
  <c r="H41" i="12"/>
  <c r="G41" i="12"/>
  <c r="F41" i="12"/>
  <c r="E41" i="12"/>
  <c r="D41" i="12"/>
  <c r="C41" i="12"/>
  <c r="B41" i="12"/>
  <c r="L40" i="12"/>
  <c r="K40" i="12"/>
  <c r="J40" i="12"/>
  <c r="I40" i="12"/>
  <c r="H40" i="12"/>
  <c r="G40" i="12"/>
  <c r="F40" i="12"/>
  <c r="E40" i="12"/>
  <c r="D40" i="12"/>
  <c r="C40" i="12"/>
  <c r="B40" i="12"/>
  <c r="L39" i="12"/>
  <c r="K39" i="12"/>
  <c r="J39" i="12"/>
  <c r="I39" i="12"/>
  <c r="H39" i="12"/>
  <c r="G39" i="12"/>
  <c r="F39" i="12"/>
  <c r="E39" i="12"/>
  <c r="D39" i="12"/>
  <c r="C39" i="12"/>
  <c r="B39" i="12"/>
  <c r="L38" i="12"/>
  <c r="K38" i="12"/>
  <c r="J38" i="12"/>
  <c r="I38" i="12"/>
  <c r="H38" i="12"/>
  <c r="G38" i="12"/>
  <c r="F38" i="12"/>
  <c r="E38" i="12"/>
  <c r="D38" i="12"/>
  <c r="C38" i="12"/>
  <c r="B38" i="12"/>
  <c r="L37" i="12"/>
  <c r="K37" i="12"/>
  <c r="J37" i="12"/>
  <c r="I37" i="12"/>
  <c r="H37" i="12"/>
  <c r="G37" i="12"/>
  <c r="F37" i="12"/>
  <c r="E37" i="12"/>
  <c r="D37" i="12"/>
  <c r="C37" i="12"/>
  <c r="B37" i="12"/>
  <c r="L36" i="12"/>
  <c r="K36" i="12"/>
  <c r="J36" i="12"/>
  <c r="I36" i="12"/>
  <c r="H36" i="12"/>
  <c r="G36" i="12"/>
  <c r="F36" i="12"/>
  <c r="E36" i="12"/>
  <c r="D36" i="12"/>
  <c r="C36" i="12"/>
  <c r="B36" i="12"/>
  <c r="L35" i="12"/>
  <c r="K35" i="12"/>
  <c r="J35" i="12"/>
  <c r="I35" i="12"/>
  <c r="H35" i="12"/>
  <c r="G35" i="12"/>
  <c r="F35" i="12"/>
  <c r="E35" i="12"/>
  <c r="D35" i="12"/>
  <c r="C35" i="12"/>
  <c r="B35" i="12"/>
  <c r="L34" i="12"/>
  <c r="K34" i="12"/>
  <c r="J34" i="12"/>
  <c r="I34" i="12"/>
  <c r="H34" i="12"/>
  <c r="G34" i="12"/>
  <c r="F34" i="12"/>
  <c r="E34" i="12"/>
  <c r="D34" i="12"/>
  <c r="C34" i="12"/>
  <c r="B34" i="12"/>
  <c r="L33" i="12"/>
  <c r="K33" i="12"/>
  <c r="J33" i="12"/>
  <c r="I33" i="12"/>
  <c r="H33" i="12"/>
  <c r="G33" i="12"/>
  <c r="F33" i="12"/>
  <c r="E33" i="12"/>
  <c r="D33" i="12"/>
  <c r="C33" i="12"/>
  <c r="B33" i="12"/>
  <c r="L32" i="12"/>
  <c r="K32" i="12"/>
  <c r="J32" i="12"/>
  <c r="I32" i="12"/>
  <c r="H32" i="12"/>
  <c r="G32" i="12"/>
  <c r="F32" i="12"/>
  <c r="E32" i="12"/>
  <c r="D32" i="12"/>
  <c r="C32" i="12"/>
  <c r="B32" i="12"/>
  <c r="L31" i="12"/>
  <c r="K31" i="12"/>
  <c r="J31" i="12"/>
  <c r="I31" i="12"/>
  <c r="H31" i="12"/>
  <c r="G31" i="12"/>
  <c r="F31" i="12"/>
  <c r="E31" i="12"/>
  <c r="D31" i="12"/>
  <c r="C31" i="12"/>
  <c r="B31" i="12"/>
  <c r="L30" i="12"/>
  <c r="K30" i="12"/>
  <c r="J30" i="12"/>
  <c r="I30" i="12"/>
  <c r="H30" i="12"/>
  <c r="G30" i="12"/>
  <c r="F30" i="12"/>
  <c r="E30" i="12"/>
  <c r="D30" i="12"/>
  <c r="C30" i="12"/>
  <c r="B30" i="12"/>
  <c r="L29" i="12"/>
  <c r="K29" i="12"/>
  <c r="J29" i="12"/>
  <c r="I29" i="12"/>
  <c r="H29" i="12"/>
  <c r="G29" i="12"/>
  <c r="F29" i="12"/>
  <c r="E29" i="12"/>
  <c r="D29" i="12"/>
  <c r="C29" i="12"/>
  <c r="B29" i="12"/>
  <c r="L28" i="12"/>
  <c r="K28" i="12"/>
  <c r="J28" i="12"/>
  <c r="I28" i="12"/>
  <c r="H28" i="12"/>
  <c r="G28" i="12"/>
  <c r="F28" i="12"/>
  <c r="E28" i="12"/>
  <c r="D28" i="12"/>
  <c r="C28" i="12"/>
  <c r="B28" i="12"/>
  <c r="L27" i="12"/>
  <c r="K27" i="12"/>
  <c r="J27" i="12"/>
  <c r="I27" i="12"/>
  <c r="H27" i="12"/>
  <c r="G27" i="12"/>
  <c r="F27" i="12"/>
  <c r="E27" i="12"/>
  <c r="D27" i="12"/>
  <c r="C27" i="12"/>
  <c r="B27" i="12"/>
  <c r="L26" i="12"/>
  <c r="K26" i="12"/>
  <c r="J26" i="12"/>
  <c r="I26" i="12"/>
  <c r="H26" i="12"/>
  <c r="G26" i="12"/>
  <c r="F26" i="12"/>
  <c r="E26" i="12"/>
  <c r="D26" i="12"/>
  <c r="C26" i="12"/>
  <c r="B26" i="12"/>
  <c r="L25" i="12"/>
  <c r="K25" i="12"/>
  <c r="J25" i="12"/>
  <c r="I25" i="12"/>
  <c r="H25" i="12"/>
  <c r="G25" i="12"/>
  <c r="F25" i="12"/>
  <c r="E25" i="12"/>
  <c r="D25" i="12"/>
  <c r="C25" i="12"/>
  <c r="B25" i="12"/>
  <c r="L24" i="12"/>
  <c r="K24" i="12"/>
  <c r="J24" i="12"/>
  <c r="I24" i="12"/>
  <c r="H24" i="12"/>
  <c r="G24" i="12"/>
  <c r="F24" i="12"/>
  <c r="E24" i="12"/>
  <c r="D24" i="12"/>
  <c r="C24" i="12"/>
  <c r="B24" i="12"/>
  <c r="L23" i="12"/>
  <c r="K23" i="12"/>
  <c r="J23" i="12"/>
  <c r="I23" i="12"/>
  <c r="H23" i="12"/>
  <c r="G23" i="12"/>
  <c r="F23" i="12"/>
  <c r="E23" i="12"/>
  <c r="D23" i="12"/>
  <c r="C23" i="12"/>
  <c r="B23" i="12"/>
  <c r="L22" i="12"/>
  <c r="K22" i="12"/>
  <c r="J22" i="12"/>
  <c r="I22" i="12"/>
  <c r="H22" i="12"/>
  <c r="G22" i="12"/>
  <c r="F22" i="12"/>
  <c r="E22" i="12"/>
  <c r="D22" i="12"/>
  <c r="C22" i="12"/>
  <c r="B22" i="12"/>
  <c r="L21" i="12"/>
  <c r="K21" i="12"/>
  <c r="J21" i="12"/>
  <c r="I21" i="12"/>
  <c r="H21" i="12"/>
  <c r="G21" i="12"/>
  <c r="F21" i="12"/>
  <c r="E21" i="12"/>
  <c r="D21" i="12"/>
  <c r="C21" i="12"/>
  <c r="B21" i="12"/>
  <c r="L20" i="12"/>
  <c r="K20" i="12"/>
  <c r="J20" i="12"/>
  <c r="I20" i="12"/>
  <c r="H20" i="12"/>
  <c r="G20" i="12"/>
  <c r="F20" i="12"/>
  <c r="E20" i="12"/>
  <c r="D20" i="12"/>
  <c r="C20" i="12"/>
  <c r="B20" i="12"/>
  <c r="L19" i="12"/>
  <c r="K19" i="12"/>
  <c r="J19" i="12"/>
  <c r="I19" i="12"/>
  <c r="H19" i="12"/>
  <c r="G19" i="12"/>
  <c r="F19" i="12"/>
  <c r="E19" i="12"/>
  <c r="D19" i="12"/>
  <c r="C19" i="12"/>
  <c r="B19" i="12"/>
  <c r="L18" i="12"/>
  <c r="K18" i="12"/>
  <c r="J18" i="12"/>
  <c r="I18" i="12"/>
  <c r="H18" i="12"/>
  <c r="G18" i="12"/>
  <c r="F18" i="12"/>
  <c r="E18" i="12"/>
  <c r="D18" i="12"/>
  <c r="C18" i="12"/>
  <c r="B18" i="12"/>
  <c r="L17" i="12"/>
  <c r="K17" i="12"/>
  <c r="J17" i="12"/>
  <c r="I17" i="12"/>
  <c r="H17" i="12"/>
  <c r="G17" i="12"/>
  <c r="F17" i="12"/>
  <c r="E17" i="12"/>
  <c r="D17" i="12"/>
  <c r="C17" i="12"/>
  <c r="B17" i="12"/>
  <c r="L16" i="12"/>
  <c r="K16" i="12"/>
  <c r="J16" i="12"/>
  <c r="I16" i="12"/>
  <c r="H16" i="12"/>
  <c r="G16" i="12"/>
  <c r="F16" i="12"/>
  <c r="E16" i="12"/>
  <c r="D16" i="12"/>
  <c r="C16" i="12"/>
  <c r="B16" i="12"/>
  <c r="L15" i="12"/>
  <c r="K15" i="12"/>
  <c r="J15" i="12"/>
  <c r="I15" i="12"/>
  <c r="H15" i="12"/>
  <c r="G15" i="12"/>
  <c r="F15" i="12"/>
  <c r="E15" i="12"/>
  <c r="D15" i="12"/>
  <c r="C15" i="12"/>
  <c r="B15" i="12"/>
  <c r="L14" i="12"/>
  <c r="K14" i="12"/>
  <c r="J14" i="12"/>
  <c r="I14" i="12"/>
  <c r="H14" i="12"/>
  <c r="G14" i="12"/>
  <c r="F14" i="12"/>
  <c r="E14" i="12"/>
  <c r="D14" i="12"/>
  <c r="C14" i="12"/>
  <c r="B14" i="12"/>
  <c r="L13" i="12"/>
  <c r="K13" i="12"/>
  <c r="J13" i="12"/>
  <c r="I13" i="12"/>
  <c r="H13" i="12"/>
  <c r="G13" i="12"/>
  <c r="F13" i="12"/>
  <c r="E13" i="12"/>
  <c r="D13" i="12"/>
  <c r="C13" i="12"/>
  <c r="B13" i="12"/>
  <c r="L12" i="12"/>
  <c r="K12" i="12"/>
  <c r="J12" i="12"/>
  <c r="I12" i="12"/>
  <c r="H12" i="12"/>
  <c r="G12" i="12"/>
  <c r="F12" i="12"/>
  <c r="E12" i="12"/>
  <c r="D12" i="12"/>
  <c r="C12" i="12"/>
  <c r="B12" i="12"/>
  <c r="L11" i="12"/>
  <c r="K11" i="12"/>
  <c r="J11" i="12"/>
  <c r="I11" i="12"/>
  <c r="H11" i="12"/>
  <c r="G11" i="12"/>
  <c r="F11" i="12"/>
  <c r="E11" i="12"/>
  <c r="D11" i="12"/>
  <c r="C11" i="12"/>
  <c r="B11" i="12"/>
  <c r="L10" i="12"/>
  <c r="K10" i="12"/>
  <c r="J10" i="12"/>
  <c r="I10" i="12"/>
  <c r="H10" i="12"/>
  <c r="G10" i="12"/>
  <c r="F10" i="12"/>
  <c r="E10" i="12"/>
  <c r="D10" i="12"/>
  <c r="C10" i="12"/>
  <c r="B10" i="12"/>
  <c r="L9" i="12"/>
  <c r="K9" i="12"/>
  <c r="J9" i="12"/>
  <c r="I9" i="12"/>
  <c r="H9" i="12"/>
  <c r="G9" i="12"/>
  <c r="F9" i="12"/>
  <c r="E9" i="12"/>
  <c r="D9" i="12"/>
  <c r="C9" i="12"/>
  <c r="B9" i="12"/>
  <c r="L8" i="12"/>
  <c r="K8" i="12"/>
  <c r="J8" i="12"/>
  <c r="I8" i="12"/>
  <c r="H8" i="12"/>
  <c r="G8" i="12"/>
  <c r="F8" i="12"/>
  <c r="E8" i="12"/>
  <c r="D8" i="12"/>
  <c r="C8" i="12"/>
  <c r="B8" i="12"/>
  <c r="L7" i="12"/>
  <c r="K7" i="12"/>
  <c r="J7" i="12"/>
  <c r="I7" i="12"/>
  <c r="H7" i="12"/>
  <c r="G7" i="12"/>
  <c r="F7" i="12"/>
  <c r="E7" i="12"/>
  <c r="C7" i="12"/>
  <c r="B7" i="12"/>
  <c r="L6" i="12"/>
  <c r="K6" i="12"/>
  <c r="J6" i="12"/>
  <c r="I6" i="12"/>
  <c r="H6" i="12"/>
  <c r="G6" i="12"/>
  <c r="F6" i="12"/>
  <c r="E6" i="12"/>
  <c r="D6" i="12"/>
  <c r="C6" i="12"/>
  <c r="B6" i="12"/>
  <c r="L5" i="12"/>
  <c r="K5" i="12"/>
  <c r="J5" i="12"/>
  <c r="I5" i="12"/>
  <c r="H5" i="12"/>
  <c r="G5" i="12"/>
  <c r="F5" i="12"/>
  <c r="E5" i="12"/>
  <c r="D5" i="12"/>
  <c r="C5" i="12"/>
  <c r="B5" i="12"/>
  <c r="L4" i="12"/>
  <c r="K4" i="12"/>
  <c r="J4" i="12"/>
  <c r="I4" i="12"/>
  <c r="H4" i="12"/>
  <c r="G4" i="12"/>
  <c r="F4" i="12"/>
  <c r="E4" i="12"/>
  <c r="D4" i="12"/>
  <c r="C4" i="12"/>
  <c r="B4" i="12"/>
  <c r="D32" i="11"/>
  <c r="C32" i="11"/>
  <c r="B32" i="11"/>
  <c r="D31" i="11"/>
  <c r="C31" i="11"/>
  <c r="B31" i="11"/>
  <c r="D30" i="11"/>
  <c r="C30" i="11"/>
  <c r="B30" i="11"/>
  <c r="D29" i="11"/>
  <c r="C29" i="11"/>
  <c r="B29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D10" i="11"/>
  <c r="A10" i="11"/>
  <c r="G5" i="11"/>
  <c r="A2" i="11"/>
  <c r="C18" i="10"/>
  <c r="C17" i="10"/>
  <c r="C16" i="10"/>
  <c r="C15" i="10"/>
  <c r="C14" i="10"/>
  <c r="C13" i="10"/>
  <c r="C12" i="10"/>
  <c r="C8" i="10"/>
  <c r="C7" i="10"/>
  <c r="D53" i="9"/>
  <c r="D67" i="11" s="1"/>
  <c r="C53" i="9"/>
  <c r="C67" i="11" s="1"/>
  <c r="B53" i="9"/>
  <c r="D52" i="9"/>
  <c r="D66" i="11" s="1"/>
  <c r="C52" i="9"/>
  <c r="C66" i="11" s="1"/>
  <c r="B52" i="9"/>
  <c r="D51" i="9"/>
  <c r="D65" i="11" s="1"/>
  <c r="C51" i="9"/>
  <c r="C65" i="11" s="1"/>
  <c r="B51" i="9"/>
  <c r="D50" i="9"/>
  <c r="D64" i="11" s="1"/>
  <c r="C50" i="9"/>
  <c r="C64" i="11" s="1"/>
  <c r="B50" i="9"/>
  <c r="D49" i="9"/>
  <c r="D63" i="11" s="1"/>
  <c r="C49" i="9"/>
  <c r="C63" i="11" s="1"/>
  <c r="B49" i="9"/>
  <c r="D48" i="9"/>
  <c r="D62" i="11" s="1"/>
  <c r="C48" i="9"/>
  <c r="C62" i="11" s="1"/>
  <c r="B48" i="9"/>
  <c r="D47" i="9"/>
  <c r="D61" i="11" s="1"/>
  <c r="C47" i="9"/>
  <c r="C61" i="11" s="1"/>
  <c r="B47" i="9"/>
  <c r="D46" i="9"/>
  <c r="D60" i="11" s="1"/>
  <c r="C46" i="9"/>
  <c r="C60" i="11" s="1"/>
  <c r="B46" i="9"/>
  <c r="D45" i="9"/>
  <c r="D59" i="11" s="1"/>
  <c r="C45" i="9"/>
  <c r="C59" i="11" s="1"/>
  <c r="B45" i="9"/>
  <c r="D44" i="9"/>
  <c r="D58" i="11" s="1"/>
  <c r="C44" i="9"/>
  <c r="C58" i="11" s="1"/>
  <c r="B44" i="9"/>
  <c r="D43" i="9"/>
  <c r="D57" i="11" s="1"/>
  <c r="C43" i="9"/>
  <c r="C57" i="11" s="1"/>
  <c r="B43" i="9"/>
  <c r="D42" i="9"/>
  <c r="D56" i="11" s="1"/>
  <c r="C42" i="9"/>
  <c r="C56" i="11" s="1"/>
  <c r="B42" i="9"/>
  <c r="D41" i="9"/>
  <c r="D55" i="11" s="1"/>
  <c r="C41" i="9"/>
  <c r="C55" i="11" s="1"/>
  <c r="B41" i="9"/>
  <c r="D40" i="9"/>
  <c r="D54" i="11" s="1"/>
  <c r="C40" i="9"/>
  <c r="C54" i="11" s="1"/>
  <c r="B40" i="9"/>
  <c r="D39" i="9"/>
  <c r="D53" i="11" s="1"/>
  <c r="C39" i="9"/>
  <c r="C53" i="11" s="1"/>
  <c r="B39" i="9"/>
  <c r="D38" i="9"/>
  <c r="D52" i="11" s="1"/>
  <c r="C38" i="9"/>
  <c r="C52" i="11" s="1"/>
  <c r="B38" i="9"/>
  <c r="D37" i="9"/>
  <c r="D51" i="11" s="1"/>
  <c r="C37" i="9"/>
  <c r="C51" i="11" s="1"/>
  <c r="B37" i="9"/>
  <c r="D36" i="9"/>
  <c r="D50" i="11" s="1"/>
  <c r="C36" i="9"/>
  <c r="C50" i="11" s="1"/>
  <c r="B36" i="9"/>
  <c r="D35" i="9"/>
  <c r="D49" i="11" s="1"/>
  <c r="C35" i="9"/>
  <c r="C49" i="11" s="1"/>
  <c r="B35" i="9"/>
  <c r="D34" i="9"/>
  <c r="D48" i="11" s="1"/>
  <c r="C34" i="9"/>
  <c r="C48" i="11" s="1"/>
  <c r="B34" i="9"/>
  <c r="D33" i="9"/>
  <c r="D47" i="11" s="1"/>
  <c r="C33" i="9"/>
  <c r="C47" i="11" s="1"/>
  <c r="B33" i="9"/>
  <c r="D32" i="9"/>
  <c r="D46" i="11" s="1"/>
  <c r="C32" i="9"/>
  <c r="C46" i="11" s="1"/>
  <c r="B32" i="9"/>
  <c r="D31" i="9"/>
  <c r="D45" i="11" s="1"/>
  <c r="C31" i="9"/>
  <c r="C45" i="11" s="1"/>
  <c r="B31" i="9"/>
  <c r="D30" i="9"/>
  <c r="D44" i="11" s="1"/>
  <c r="C30" i="9"/>
  <c r="C44" i="11" s="1"/>
  <c r="B30" i="9"/>
  <c r="D29" i="9"/>
  <c r="D43" i="11" s="1"/>
  <c r="C29" i="9"/>
  <c r="C43" i="11" s="1"/>
  <c r="B29" i="9"/>
  <c r="D28" i="9"/>
  <c r="D42" i="11" s="1"/>
  <c r="C42" i="11"/>
  <c r="B28" i="9"/>
  <c r="D27" i="9"/>
  <c r="D41" i="11" s="1"/>
  <c r="C27" i="9"/>
  <c r="C41" i="11" s="1"/>
  <c r="B27" i="9"/>
  <c r="D26" i="9"/>
  <c r="D40" i="11" s="1"/>
  <c r="C26" i="9"/>
  <c r="C40" i="11" s="1"/>
  <c r="B26" i="9"/>
  <c r="D25" i="9"/>
  <c r="D39" i="11" s="1"/>
  <c r="C25" i="9"/>
  <c r="C39" i="11" s="1"/>
  <c r="B25" i="9"/>
  <c r="D24" i="9"/>
  <c r="D38" i="11" s="1"/>
  <c r="C24" i="9"/>
  <c r="C38" i="11" s="1"/>
  <c r="B24" i="9"/>
  <c r="D23" i="9"/>
  <c r="D37" i="11" s="1"/>
  <c r="C23" i="9"/>
  <c r="C37" i="11" s="1"/>
  <c r="B23" i="9"/>
  <c r="D22" i="9"/>
  <c r="D36" i="11" s="1"/>
  <c r="C22" i="9"/>
  <c r="C36" i="11" s="1"/>
  <c r="B22" i="9"/>
  <c r="D21" i="9"/>
  <c r="D35" i="11" s="1"/>
  <c r="C21" i="9"/>
  <c r="C35" i="11" s="1"/>
  <c r="B21" i="9"/>
  <c r="D20" i="9"/>
  <c r="D34" i="11" s="1"/>
  <c r="C20" i="9"/>
  <c r="C34" i="11" s="1"/>
  <c r="B20" i="9"/>
  <c r="D19" i="9"/>
  <c r="D33" i="11" s="1"/>
  <c r="C19" i="9"/>
  <c r="C33" i="11" s="1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D28" i="11" s="1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B19" i="11" s="1"/>
  <c r="D4" i="9"/>
  <c r="D18" i="11" s="1"/>
  <c r="C4" i="9"/>
  <c r="C18" i="11" s="1"/>
  <c r="B4" i="9"/>
  <c r="B18" i="11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A5" i="11" s="1"/>
  <c r="G303" i="7"/>
  <c r="I303" i="7" s="1"/>
  <c r="D303" i="7"/>
  <c r="C303" i="7"/>
  <c r="G302" i="7"/>
  <c r="I302" i="7" s="1"/>
  <c r="D302" i="7"/>
  <c r="C302" i="7"/>
  <c r="G301" i="7"/>
  <c r="I301" i="7" s="1"/>
  <c r="D301" i="7"/>
  <c r="C301" i="7"/>
  <c r="G300" i="7"/>
  <c r="I300" i="7" s="1"/>
  <c r="D300" i="7"/>
  <c r="C300" i="7"/>
  <c r="G299" i="7"/>
  <c r="I299" i="7" s="1"/>
  <c r="D299" i="7"/>
  <c r="C299" i="7"/>
  <c r="G298" i="7"/>
  <c r="I298" i="7" s="1"/>
  <c r="D298" i="7"/>
  <c r="C298" i="7"/>
  <c r="G297" i="7"/>
  <c r="I297" i="7" s="1"/>
  <c r="D297" i="7"/>
  <c r="C297" i="7"/>
  <c r="G296" i="7"/>
  <c r="I296" i="7" s="1"/>
  <c r="D296" i="7"/>
  <c r="C296" i="7"/>
  <c r="G295" i="7"/>
  <c r="I295" i="7" s="1"/>
  <c r="D295" i="7"/>
  <c r="C295" i="7"/>
  <c r="G294" i="7"/>
  <c r="I294" i="7" s="1"/>
  <c r="D294" i="7"/>
  <c r="C294" i="7"/>
  <c r="G293" i="7"/>
  <c r="I293" i="7" s="1"/>
  <c r="D293" i="7"/>
  <c r="C293" i="7"/>
  <c r="G292" i="7"/>
  <c r="I292" i="7" s="1"/>
  <c r="D292" i="7"/>
  <c r="C292" i="7"/>
  <c r="G291" i="7"/>
  <c r="I291" i="7" s="1"/>
  <c r="D291" i="7"/>
  <c r="C291" i="7"/>
  <c r="G290" i="7"/>
  <c r="I290" i="7" s="1"/>
  <c r="D290" i="7"/>
  <c r="C290" i="7"/>
  <c r="G289" i="7"/>
  <c r="I289" i="7" s="1"/>
  <c r="D289" i="7"/>
  <c r="C289" i="7"/>
  <c r="G288" i="7"/>
  <c r="I288" i="7" s="1"/>
  <c r="D288" i="7"/>
  <c r="C288" i="7"/>
  <c r="G287" i="7"/>
  <c r="I287" i="7" s="1"/>
  <c r="D287" i="7"/>
  <c r="C287" i="7"/>
  <c r="G286" i="7"/>
  <c r="I286" i="7" s="1"/>
  <c r="D286" i="7"/>
  <c r="C286" i="7"/>
  <c r="G285" i="7"/>
  <c r="I285" i="7" s="1"/>
  <c r="D285" i="7"/>
  <c r="C285" i="7"/>
  <c r="G284" i="7"/>
  <c r="I284" i="7" s="1"/>
  <c r="D284" i="7"/>
  <c r="C284" i="7"/>
  <c r="G283" i="7"/>
  <c r="I283" i="7" s="1"/>
  <c r="D283" i="7"/>
  <c r="C283" i="7"/>
  <c r="G282" i="7"/>
  <c r="I282" i="7" s="1"/>
  <c r="D282" i="7"/>
  <c r="C282" i="7"/>
  <c r="G281" i="7"/>
  <c r="I281" i="7" s="1"/>
  <c r="D281" i="7"/>
  <c r="C281" i="7"/>
  <c r="G280" i="7"/>
  <c r="I280" i="7" s="1"/>
  <c r="D280" i="7"/>
  <c r="C280" i="7"/>
  <c r="G279" i="7"/>
  <c r="I279" i="7" s="1"/>
  <c r="D279" i="7"/>
  <c r="C279" i="7"/>
  <c r="G278" i="7"/>
  <c r="I278" i="7" s="1"/>
  <c r="D278" i="7"/>
  <c r="C278" i="7"/>
  <c r="G277" i="7"/>
  <c r="I277" i="7" s="1"/>
  <c r="D277" i="7"/>
  <c r="C277" i="7"/>
  <c r="G276" i="7"/>
  <c r="I276" i="7" s="1"/>
  <c r="D276" i="7"/>
  <c r="C276" i="7"/>
  <c r="G275" i="7"/>
  <c r="I275" i="7" s="1"/>
  <c r="D275" i="7"/>
  <c r="C275" i="7"/>
  <c r="G274" i="7"/>
  <c r="I274" i="7" s="1"/>
  <c r="D274" i="7"/>
  <c r="C274" i="7"/>
  <c r="G273" i="7"/>
  <c r="I273" i="7" s="1"/>
  <c r="D273" i="7"/>
  <c r="C273" i="7"/>
  <c r="G272" i="7"/>
  <c r="I272" i="7" s="1"/>
  <c r="D272" i="7"/>
  <c r="C272" i="7"/>
  <c r="G271" i="7"/>
  <c r="I271" i="7" s="1"/>
  <c r="D271" i="7"/>
  <c r="C271" i="7"/>
  <c r="G270" i="7"/>
  <c r="I270" i="7" s="1"/>
  <c r="D270" i="7"/>
  <c r="C270" i="7"/>
  <c r="G269" i="7"/>
  <c r="I269" i="7" s="1"/>
  <c r="D269" i="7"/>
  <c r="C269" i="7"/>
  <c r="G268" i="7"/>
  <c r="I268" i="7" s="1"/>
  <c r="D268" i="7"/>
  <c r="C268" i="7"/>
  <c r="G267" i="7"/>
  <c r="I267" i="7" s="1"/>
  <c r="D267" i="7"/>
  <c r="C267" i="7"/>
  <c r="G266" i="7"/>
  <c r="I266" i="7" s="1"/>
  <c r="D266" i="7"/>
  <c r="C266" i="7"/>
  <c r="G265" i="7"/>
  <c r="I265" i="7" s="1"/>
  <c r="D265" i="7"/>
  <c r="C265" i="7"/>
  <c r="G264" i="7"/>
  <c r="I264" i="7" s="1"/>
  <c r="D264" i="7"/>
  <c r="C264" i="7"/>
  <c r="G263" i="7"/>
  <c r="I263" i="7" s="1"/>
  <c r="D263" i="7"/>
  <c r="C263" i="7"/>
  <c r="G262" i="7"/>
  <c r="I262" i="7" s="1"/>
  <c r="D262" i="7"/>
  <c r="C262" i="7"/>
  <c r="G261" i="7"/>
  <c r="I261" i="7" s="1"/>
  <c r="D261" i="7"/>
  <c r="C261" i="7"/>
  <c r="G260" i="7"/>
  <c r="I260" i="7" s="1"/>
  <c r="D260" i="7"/>
  <c r="C260" i="7"/>
  <c r="G259" i="7"/>
  <c r="I259" i="7" s="1"/>
  <c r="D259" i="7"/>
  <c r="C259" i="7"/>
  <c r="G258" i="7"/>
  <c r="I258" i="7" s="1"/>
  <c r="D258" i="7"/>
  <c r="C258" i="7"/>
  <c r="G257" i="7"/>
  <c r="I257" i="7" s="1"/>
  <c r="D257" i="7"/>
  <c r="C257" i="7"/>
  <c r="G256" i="7"/>
  <c r="I256" i="7" s="1"/>
  <c r="D256" i="7"/>
  <c r="C256" i="7"/>
  <c r="G255" i="7"/>
  <c r="I255" i="7" s="1"/>
  <c r="D255" i="7"/>
  <c r="C255" i="7"/>
  <c r="G254" i="7"/>
  <c r="I254" i="7" s="1"/>
  <c r="D254" i="7"/>
  <c r="C254" i="7"/>
  <c r="G253" i="7"/>
  <c r="I253" i="7" s="1"/>
  <c r="D253" i="7"/>
  <c r="C253" i="7"/>
  <c r="G252" i="7"/>
  <c r="I252" i="7" s="1"/>
  <c r="D252" i="7"/>
  <c r="C252" i="7"/>
  <c r="G251" i="7"/>
  <c r="I251" i="7" s="1"/>
  <c r="D251" i="7"/>
  <c r="C251" i="7"/>
  <c r="G250" i="7"/>
  <c r="I250" i="7" s="1"/>
  <c r="D250" i="7"/>
  <c r="C250" i="7"/>
  <c r="G249" i="7"/>
  <c r="I249" i="7" s="1"/>
  <c r="D249" i="7"/>
  <c r="C249" i="7"/>
  <c r="G248" i="7"/>
  <c r="I248" i="7" s="1"/>
  <c r="D248" i="7"/>
  <c r="C248" i="7"/>
  <c r="G247" i="7"/>
  <c r="I247" i="7" s="1"/>
  <c r="D247" i="7"/>
  <c r="C247" i="7"/>
  <c r="G246" i="7"/>
  <c r="I246" i="7" s="1"/>
  <c r="D246" i="7"/>
  <c r="C246" i="7"/>
  <c r="G245" i="7"/>
  <c r="I245" i="7" s="1"/>
  <c r="D245" i="7"/>
  <c r="C245" i="7"/>
  <c r="G244" i="7"/>
  <c r="I244" i="7" s="1"/>
  <c r="D244" i="7"/>
  <c r="C244" i="7"/>
  <c r="G243" i="7"/>
  <c r="I243" i="7" s="1"/>
  <c r="D243" i="7"/>
  <c r="C243" i="7"/>
  <c r="G242" i="7"/>
  <c r="I242" i="7" s="1"/>
  <c r="D242" i="7"/>
  <c r="C242" i="7"/>
  <c r="G241" i="7"/>
  <c r="I241" i="7" s="1"/>
  <c r="D241" i="7"/>
  <c r="C241" i="7"/>
  <c r="G240" i="7"/>
  <c r="I240" i="7" s="1"/>
  <c r="D240" i="7"/>
  <c r="C240" i="7"/>
  <c r="G239" i="7"/>
  <c r="I239" i="7" s="1"/>
  <c r="D239" i="7"/>
  <c r="C239" i="7"/>
  <c r="G238" i="7"/>
  <c r="I238" i="7" s="1"/>
  <c r="D238" i="7"/>
  <c r="C238" i="7"/>
  <c r="G237" i="7"/>
  <c r="I237" i="7" s="1"/>
  <c r="D237" i="7"/>
  <c r="C237" i="7"/>
  <c r="G236" i="7"/>
  <c r="I236" i="7" s="1"/>
  <c r="D236" i="7"/>
  <c r="C236" i="7"/>
  <c r="G235" i="7"/>
  <c r="I235" i="7" s="1"/>
  <c r="D235" i="7"/>
  <c r="C235" i="7"/>
  <c r="G234" i="7"/>
  <c r="I234" i="7" s="1"/>
  <c r="D234" i="7"/>
  <c r="C234" i="7"/>
  <c r="G233" i="7"/>
  <c r="I233" i="7" s="1"/>
  <c r="D233" i="7"/>
  <c r="C233" i="7"/>
  <c r="G232" i="7"/>
  <c r="I232" i="7" s="1"/>
  <c r="D232" i="7"/>
  <c r="C232" i="7"/>
  <c r="G231" i="7"/>
  <c r="I231" i="7" s="1"/>
  <c r="D231" i="7"/>
  <c r="C231" i="7"/>
  <c r="G230" i="7"/>
  <c r="I230" i="7" s="1"/>
  <c r="D230" i="7"/>
  <c r="C230" i="7"/>
  <c r="G229" i="7"/>
  <c r="I229" i="7" s="1"/>
  <c r="D229" i="7"/>
  <c r="C229" i="7"/>
  <c r="G228" i="7"/>
  <c r="I228" i="7" s="1"/>
  <c r="D228" i="7"/>
  <c r="C228" i="7"/>
  <c r="G227" i="7"/>
  <c r="I227" i="7" s="1"/>
  <c r="D227" i="7"/>
  <c r="C227" i="7"/>
  <c r="G226" i="7"/>
  <c r="I226" i="7" s="1"/>
  <c r="D226" i="7"/>
  <c r="C226" i="7"/>
  <c r="G225" i="7"/>
  <c r="I225" i="7" s="1"/>
  <c r="D225" i="7"/>
  <c r="C225" i="7"/>
  <c r="G224" i="7"/>
  <c r="I224" i="7" s="1"/>
  <c r="D224" i="7"/>
  <c r="C224" i="7"/>
  <c r="G223" i="7"/>
  <c r="I223" i="7" s="1"/>
  <c r="D223" i="7"/>
  <c r="C223" i="7"/>
  <c r="G222" i="7"/>
  <c r="I222" i="7" s="1"/>
  <c r="D222" i="7"/>
  <c r="C222" i="7"/>
  <c r="G221" i="7"/>
  <c r="I221" i="7" s="1"/>
  <c r="D221" i="7"/>
  <c r="C221" i="7"/>
  <c r="G220" i="7"/>
  <c r="I220" i="7" s="1"/>
  <c r="D220" i="7"/>
  <c r="C220" i="7"/>
  <c r="G219" i="7"/>
  <c r="I219" i="7" s="1"/>
  <c r="D219" i="7"/>
  <c r="C219" i="7"/>
  <c r="G218" i="7"/>
  <c r="I218" i="7" s="1"/>
  <c r="D218" i="7"/>
  <c r="C218" i="7"/>
  <c r="G217" i="7"/>
  <c r="I217" i="7" s="1"/>
  <c r="D217" i="7"/>
  <c r="C217" i="7"/>
  <c r="G216" i="7"/>
  <c r="I216" i="7" s="1"/>
  <c r="D216" i="7"/>
  <c r="C216" i="7"/>
  <c r="G215" i="7"/>
  <c r="I215" i="7" s="1"/>
  <c r="D215" i="7"/>
  <c r="C215" i="7"/>
  <c r="G214" i="7"/>
  <c r="I214" i="7" s="1"/>
  <c r="D214" i="7"/>
  <c r="C214" i="7"/>
  <c r="G213" i="7"/>
  <c r="I213" i="7" s="1"/>
  <c r="D213" i="7"/>
  <c r="C213" i="7"/>
  <c r="G212" i="7"/>
  <c r="I212" i="7" s="1"/>
  <c r="D212" i="7"/>
  <c r="C212" i="7"/>
  <c r="G211" i="7"/>
  <c r="I211" i="7" s="1"/>
  <c r="D211" i="7"/>
  <c r="C211" i="7"/>
  <c r="G210" i="7"/>
  <c r="I210" i="7" s="1"/>
  <c r="D210" i="7"/>
  <c r="C210" i="7"/>
  <c r="G209" i="7"/>
  <c r="I209" i="7" s="1"/>
  <c r="D209" i="7"/>
  <c r="C209" i="7"/>
  <c r="G208" i="7"/>
  <c r="I208" i="7" s="1"/>
  <c r="D208" i="7"/>
  <c r="C208" i="7"/>
  <c r="G207" i="7"/>
  <c r="I207" i="7" s="1"/>
  <c r="D207" i="7"/>
  <c r="C207" i="7"/>
  <c r="G206" i="7"/>
  <c r="I206" i="7" s="1"/>
  <c r="D206" i="7"/>
  <c r="C206" i="7"/>
  <c r="G205" i="7"/>
  <c r="I205" i="7" s="1"/>
  <c r="D205" i="7"/>
  <c r="C205" i="7"/>
  <c r="G204" i="7"/>
  <c r="I204" i="7" s="1"/>
  <c r="D204" i="7"/>
  <c r="C204" i="7"/>
  <c r="G203" i="7"/>
  <c r="I203" i="7" s="1"/>
  <c r="D203" i="7"/>
  <c r="C203" i="7"/>
  <c r="G202" i="7"/>
  <c r="I202" i="7" s="1"/>
  <c r="D202" i="7"/>
  <c r="C202" i="7"/>
  <c r="G201" i="7"/>
  <c r="I201" i="7" s="1"/>
  <c r="D201" i="7"/>
  <c r="C201" i="7"/>
  <c r="G200" i="7"/>
  <c r="I200" i="7" s="1"/>
  <c r="D200" i="7"/>
  <c r="C200" i="7"/>
  <c r="G199" i="7"/>
  <c r="I199" i="7" s="1"/>
  <c r="D199" i="7"/>
  <c r="C199" i="7"/>
  <c r="G198" i="7"/>
  <c r="I198" i="7" s="1"/>
  <c r="D198" i="7"/>
  <c r="C198" i="7"/>
  <c r="G197" i="7"/>
  <c r="I197" i="7" s="1"/>
  <c r="D197" i="7"/>
  <c r="C197" i="7"/>
  <c r="G196" i="7"/>
  <c r="I196" i="7" s="1"/>
  <c r="D196" i="7"/>
  <c r="C196" i="7"/>
  <c r="G195" i="7"/>
  <c r="I195" i="7" s="1"/>
  <c r="D195" i="7"/>
  <c r="C195" i="7"/>
  <c r="G194" i="7"/>
  <c r="I194" i="7" s="1"/>
  <c r="D194" i="7"/>
  <c r="C194" i="7"/>
  <c r="G193" i="7"/>
  <c r="I193" i="7" s="1"/>
  <c r="D193" i="7"/>
  <c r="C193" i="7"/>
  <c r="G192" i="7"/>
  <c r="I192" i="7" s="1"/>
  <c r="D192" i="7"/>
  <c r="C192" i="7"/>
  <c r="G191" i="7"/>
  <c r="I191" i="7" s="1"/>
  <c r="D191" i="7"/>
  <c r="C191" i="7"/>
  <c r="G190" i="7"/>
  <c r="I190" i="7" s="1"/>
  <c r="D190" i="7"/>
  <c r="C190" i="7"/>
  <c r="G189" i="7"/>
  <c r="I189" i="7" s="1"/>
  <c r="D189" i="7"/>
  <c r="C189" i="7"/>
  <c r="G188" i="7"/>
  <c r="I188" i="7" s="1"/>
  <c r="D188" i="7"/>
  <c r="C188" i="7"/>
  <c r="G187" i="7"/>
  <c r="I187" i="7" s="1"/>
  <c r="D187" i="7"/>
  <c r="C187" i="7"/>
  <c r="G186" i="7"/>
  <c r="I186" i="7" s="1"/>
  <c r="D186" i="7"/>
  <c r="C186" i="7"/>
  <c r="G185" i="7"/>
  <c r="I185" i="7" s="1"/>
  <c r="D185" i="7"/>
  <c r="C185" i="7"/>
  <c r="G184" i="7"/>
  <c r="I184" i="7" s="1"/>
  <c r="D184" i="7"/>
  <c r="C184" i="7"/>
  <c r="G183" i="7"/>
  <c r="I183" i="7" s="1"/>
  <c r="D183" i="7"/>
  <c r="C183" i="7"/>
  <c r="G182" i="7"/>
  <c r="I182" i="7" s="1"/>
  <c r="D182" i="7"/>
  <c r="C182" i="7"/>
  <c r="G181" i="7"/>
  <c r="I181" i="7" s="1"/>
  <c r="D181" i="7"/>
  <c r="C181" i="7"/>
  <c r="G180" i="7"/>
  <c r="I180" i="7" s="1"/>
  <c r="D180" i="7"/>
  <c r="C180" i="7"/>
  <c r="G179" i="7"/>
  <c r="I179" i="7" s="1"/>
  <c r="D179" i="7"/>
  <c r="C179" i="7"/>
  <c r="G178" i="7"/>
  <c r="I178" i="7" s="1"/>
  <c r="D178" i="7"/>
  <c r="C178" i="7"/>
  <c r="G177" i="7"/>
  <c r="I177" i="7" s="1"/>
  <c r="D177" i="7"/>
  <c r="C177" i="7"/>
  <c r="G176" i="7"/>
  <c r="I176" i="7" s="1"/>
  <c r="D176" i="7"/>
  <c r="C176" i="7"/>
  <c r="G175" i="7"/>
  <c r="I175" i="7" s="1"/>
  <c r="D175" i="7"/>
  <c r="C175" i="7"/>
  <c r="G174" i="7"/>
  <c r="I174" i="7" s="1"/>
  <c r="D174" i="7"/>
  <c r="C174" i="7"/>
  <c r="G173" i="7"/>
  <c r="I173" i="7" s="1"/>
  <c r="D173" i="7"/>
  <c r="C173" i="7"/>
  <c r="G172" i="7"/>
  <c r="I172" i="7" s="1"/>
  <c r="D172" i="7"/>
  <c r="C172" i="7"/>
  <c r="G171" i="7"/>
  <c r="I171" i="7" s="1"/>
  <c r="D171" i="7"/>
  <c r="C171" i="7"/>
  <c r="G170" i="7"/>
  <c r="I170" i="7" s="1"/>
  <c r="D170" i="7"/>
  <c r="C170" i="7"/>
  <c r="G169" i="7"/>
  <c r="I169" i="7" s="1"/>
  <c r="D169" i="7"/>
  <c r="C169" i="7"/>
  <c r="G168" i="7"/>
  <c r="I168" i="7" s="1"/>
  <c r="D168" i="7"/>
  <c r="C168" i="7"/>
  <c r="G167" i="7"/>
  <c r="I167" i="7" s="1"/>
  <c r="D167" i="7"/>
  <c r="C167" i="7"/>
  <c r="G166" i="7"/>
  <c r="I166" i="7" s="1"/>
  <c r="D166" i="7"/>
  <c r="C166" i="7"/>
  <c r="G165" i="7"/>
  <c r="I165" i="7" s="1"/>
  <c r="D165" i="7"/>
  <c r="C165" i="7"/>
  <c r="G164" i="7"/>
  <c r="I164" i="7" s="1"/>
  <c r="D164" i="7"/>
  <c r="C164" i="7"/>
  <c r="G163" i="7"/>
  <c r="I163" i="7" s="1"/>
  <c r="D163" i="7"/>
  <c r="C163" i="7"/>
  <c r="G162" i="7"/>
  <c r="I162" i="7" s="1"/>
  <c r="D162" i="7"/>
  <c r="C162" i="7"/>
  <c r="G161" i="7"/>
  <c r="I161" i="7" s="1"/>
  <c r="D161" i="7"/>
  <c r="C161" i="7"/>
  <c r="G160" i="7"/>
  <c r="I160" i="7" s="1"/>
  <c r="D160" i="7"/>
  <c r="C160" i="7"/>
  <c r="G159" i="7"/>
  <c r="I159" i="7" s="1"/>
  <c r="D159" i="7"/>
  <c r="C159" i="7"/>
  <c r="G158" i="7"/>
  <c r="I158" i="7" s="1"/>
  <c r="D158" i="7"/>
  <c r="C158" i="7"/>
  <c r="G157" i="7"/>
  <c r="I157" i="7" s="1"/>
  <c r="D157" i="7"/>
  <c r="C157" i="7"/>
  <c r="G156" i="7"/>
  <c r="I156" i="7" s="1"/>
  <c r="D156" i="7"/>
  <c r="C156" i="7"/>
  <c r="G155" i="7"/>
  <c r="I155" i="7" s="1"/>
  <c r="D155" i="7"/>
  <c r="C155" i="7"/>
  <c r="G154" i="7"/>
  <c r="I154" i="7" s="1"/>
  <c r="D154" i="7"/>
  <c r="C154" i="7"/>
  <c r="G153" i="7"/>
  <c r="I153" i="7" s="1"/>
  <c r="D153" i="7"/>
  <c r="C153" i="7"/>
  <c r="G152" i="7"/>
  <c r="I152" i="7" s="1"/>
  <c r="D152" i="7"/>
  <c r="C152" i="7"/>
  <c r="G151" i="7"/>
  <c r="I151" i="7" s="1"/>
  <c r="D151" i="7"/>
  <c r="C151" i="7"/>
  <c r="G150" i="7"/>
  <c r="I150" i="7" s="1"/>
  <c r="D150" i="7"/>
  <c r="C150" i="7"/>
  <c r="G149" i="7"/>
  <c r="I149" i="7" s="1"/>
  <c r="D149" i="7"/>
  <c r="C149" i="7"/>
  <c r="G148" i="7"/>
  <c r="I148" i="7" s="1"/>
  <c r="D148" i="7"/>
  <c r="C148" i="7"/>
  <c r="G147" i="7"/>
  <c r="I147" i="7" s="1"/>
  <c r="D147" i="7"/>
  <c r="C147" i="7"/>
  <c r="G146" i="7"/>
  <c r="I146" i="7" s="1"/>
  <c r="D146" i="7"/>
  <c r="C146" i="7"/>
  <c r="G145" i="7"/>
  <c r="I145" i="7" s="1"/>
  <c r="D145" i="7"/>
  <c r="C145" i="7"/>
  <c r="G144" i="7"/>
  <c r="I144" i="7" s="1"/>
  <c r="D144" i="7"/>
  <c r="C144" i="7"/>
  <c r="G143" i="7"/>
  <c r="I143" i="7" s="1"/>
  <c r="D143" i="7"/>
  <c r="C143" i="7"/>
  <c r="G142" i="7"/>
  <c r="I142" i="7" s="1"/>
  <c r="D142" i="7"/>
  <c r="C142" i="7"/>
  <c r="G141" i="7"/>
  <c r="I141" i="7" s="1"/>
  <c r="D141" i="7"/>
  <c r="C141" i="7"/>
  <c r="G140" i="7"/>
  <c r="I140" i="7" s="1"/>
  <c r="D140" i="7"/>
  <c r="C140" i="7"/>
  <c r="G139" i="7"/>
  <c r="I139" i="7" s="1"/>
  <c r="D139" i="7"/>
  <c r="C139" i="7"/>
  <c r="G138" i="7"/>
  <c r="I138" i="7" s="1"/>
  <c r="D138" i="7"/>
  <c r="C138" i="7"/>
  <c r="G137" i="7"/>
  <c r="I137" i="7" s="1"/>
  <c r="D137" i="7"/>
  <c r="C137" i="7"/>
  <c r="G136" i="7"/>
  <c r="I136" i="7" s="1"/>
  <c r="D136" i="7"/>
  <c r="C136" i="7"/>
  <c r="G135" i="7"/>
  <c r="I135" i="7" s="1"/>
  <c r="D135" i="7"/>
  <c r="C135" i="7"/>
  <c r="G134" i="7"/>
  <c r="I134" i="7" s="1"/>
  <c r="D134" i="7"/>
  <c r="C134" i="7"/>
  <c r="G133" i="7"/>
  <c r="I133" i="7" s="1"/>
  <c r="D133" i="7"/>
  <c r="C133" i="7"/>
  <c r="G132" i="7"/>
  <c r="I132" i="7" s="1"/>
  <c r="D132" i="7"/>
  <c r="C132" i="7"/>
  <c r="G131" i="7"/>
  <c r="I131" i="7" s="1"/>
  <c r="D131" i="7"/>
  <c r="C131" i="7"/>
  <c r="G130" i="7"/>
  <c r="I130" i="7" s="1"/>
  <c r="D130" i="7"/>
  <c r="C130" i="7"/>
  <c r="G129" i="7"/>
  <c r="I129" i="7" s="1"/>
  <c r="D129" i="7"/>
  <c r="C129" i="7"/>
  <c r="G128" i="7"/>
  <c r="I128" i="7" s="1"/>
  <c r="D128" i="7"/>
  <c r="C128" i="7"/>
  <c r="G127" i="7"/>
  <c r="I127" i="7" s="1"/>
  <c r="D127" i="7"/>
  <c r="C127" i="7"/>
  <c r="G126" i="7"/>
  <c r="I126" i="7" s="1"/>
  <c r="D126" i="7"/>
  <c r="C126" i="7"/>
  <c r="G125" i="7"/>
  <c r="I125" i="7" s="1"/>
  <c r="D125" i="7"/>
  <c r="C125" i="7"/>
  <c r="G124" i="7"/>
  <c r="I124" i="7" s="1"/>
  <c r="D124" i="7"/>
  <c r="C124" i="7"/>
  <c r="G123" i="7"/>
  <c r="I123" i="7" s="1"/>
  <c r="D123" i="7"/>
  <c r="C123" i="7"/>
  <c r="G122" i="7"/>
  <c r="I122" i="7" s="1"/>
  <c r="D122" i="7"/>
  <c r="C122" i="7"/>
  <c r="G121" i="7"/>
  <c r="I121" i="7" s="1"/>
  <c r="D121" i="7"/>
  <c r="C121" i="7"/>
  <c r="G120" i="7"/>
  <c r="I120" i="7" s="1"/>
  <c r="D120" i="7"/>
  <c r="C120" i="7"/>
  <c r="G119" i="7"/>
  <c r="I119" i="7" s="1"/>
  <c r="D119" i="7"/>
  <c r="C119" i="7"/>
  <c r="G118" i="7"/>
  <c r="I118" i="7" s="1"/>
  <c r="D118" i="7"/>
  <c r="C118" i="7"/>
  <c r="G117" i="7"/>
  <c r="I117" i="7" s="1"/>
  <c r="D117" i="7"/>
  <c r="C117" i="7"/>
  <c r="G116" i="7"/>
  <c r="I116" i="7" s="1"/>
  <c r="D116" i="7"/>
  <c r="C116" i="7"/>
  <c r="G115" i="7"/>
  <c r="I115" i="7" s="1"/>
  <c r="D115" i="7"/>
  <c r="C115" i="7"/>
  <c r="G114" i="7"/>
  <c r="I114" i="7" s="1"/>
  <c r="D114" i="7"/>
  <c r="C114" i="7"/>
  <c r="G113" i="7"/>
  <c r="I113" i="7" s="1"/>
  <c r="D113" i="7"/>
  <c r="C113" i="7"/>
  <c r="G112" i="7"/>
  <c r="I112" i="7" s="1"/>
  <c r="D112" i="7"/>
  <c r="C112" i="7"/>
  <c r="G111" i="7"/>
  <c r="I111" i="7" s="1"/>
  <c r="D111" i="7"/>
  <c r="C111" i="7"/>
  <c r="G110" i="7"/>
  <c r="I110" i="7" s="1"/>
  <c r="D110" i="7"/>
  <c r="C110" i="7"/>
  <c r="G109" i="7"/>
  <c r="I109" i="7" s="1"/>
  <c r="D109" i="7"/>
  <c r="C109" i="7"/>
  <c r="G108" i="7"/>
  <c r="I108" i="7" s="1"/>
  <c r="D108" i="7"/>
  <c r="C108" i="7"/>
  <c r="G107" i="7"/>
  <c r="I107" i="7" s="1"/>
  <c r="D107" i="7"/>
  <c r="C107" i="7"/>
  <c r="G106" i="7"/>
  <c r="I106" i="7" s="1"/>
  <c r="D106" i="7"/>
  <c r="C106" i="7"/>
  <c r="G105" i="7"/>
  <c r="I105" i="7" s="1"/>
  <c r="D105" i="7"/>
  <c r="C105" i="7"/>
  <c r="G104" i="7"/>
  <c r="I104" i="7" s="1"/>
  <c r="D104" i="7"/>
  <c r="C104" i="7"/>
  <c r="G103" i="7"/>
  <c r="I103" i="7" s="1"/>
  <c r="D103" i="7"/>
  <c r="C103" i="7"/>
  <c r="G102" i="7"/>
  <c r="I102" i="7" s="1"/>
  <c r="D102" i="7"/>
  <c r="C102" i="7"/>
  <c r="G101" i="7"/>
  <c r="I101" i="7" s="1"/>
  <c r="D101" i="7"/>
  <c r="C101" i="7"/>
  <c r="G100" i="7"/>
  <c r="I100" i="7" s="1"/>
  <c r="D100" i="7"/>
  <c r="C100" i="7"/>
  <c r="G99" i="7"/>
  <c r="I99" i="7" s="1"/>
  <c r="D99" i="7"/>
  <c r="C99" i="7"/>
  <c r="G98" i="7"/>
  <c r="I98" i="7" s="1"/>
  <c r="D98" i="7"/>
  <c r="C98" i="7"/>
  <c r="G97" i="7"/>
  <c r="I97" i="7" s="1"/>
  <c r="D97" i="7"/>
  <c r="C97" i="7"/>
  <c r="G96" i="7"/>
  <c r="I96" i="7" s="1"/>
  <c r="D96" i="7"/>
  <c r="C96" i="7"/>
  <c r="G95" i="7"/>
  <c r="I95" i="7" s="1"/>
  <c r="D95" i="7"/>
  <c r="C95" i="7"/>
  <c r="G94" i="7"/>
  <c r="I94" i="7" s="1"/>
  <c r="D94" i="7"/>
  <c r="C94" i="7"/>
  <c r="G93" i="7"/>
  <c r="I93" i="7" s="1"/>
  <c r="D93" i="7"/>
  <c r="C93" i="7"/>
  <c r="G92" i="7"/>
  <c r="I92" i="7" s="1"/>
  <c r="D92" i="7"/>
  <c r="C92" i="7"/>
  <c r="G91" i="7"/>
  <c r="I91" i="7" s="1"/>
  <c r="D91" i="7"/>
  <c r="C91" i="7"/>
  <c r="G90" i="7"/>
  <c r="I90" i="7" s="1"/>
  <c r="D90" i="7"/>
  <c r="C90" i="7"/>
  <c r="G89" i="7"/>
  <c r="I89" i="7" s="1"/>
  <c r="D89" i="7"/>
  <c r="C89" i="7"/>
  <c r="G88" i="7"/>
  <c r="I88" i="7" s="1"/>
  <c r="D88" i="7"/>
  <c r="C88" i="7"/>
  <c r="G87" i="7"/>
  <c r="I87" i="7" s="1"/>
  <c r="D87" i="7"/>
  <c r="C87" i="7"/>
  <c r="G86" i="7"/>
  <c r="I86" i="7" s="1"/>
  <c r="D86" i="7"/>
  <c r="C86" i="7"/>
  <c r="G85" i="7"/>
  <c r="I85" i="7" s="1"/>
  <c r="D85" i="7"/>
  <c r="C85" i="7"/>
  <c r="G84" i="7"/>
  <c r="I84" i="7" s="1"/>
  <c r="D84" i="7"/>
  <c r="C84" i="7"/>
  <c r="G83" i="7"/>
  <c r="I83" i="7" s="1"/>
  <c r="D83" i="7"/>
  <c r="C83" i="7"/>
  <c r="G82" i="7"/>
  <c r="I82" i="7" s="1"/>
  <c r="D82" i="7"/>
  <c r="C82" i="7"/>
  <c r="G81" i="7"/>
  <c r="I81" i="7" s="1"/>
  <c r="D81" i="7"/>
  <c r="C81" i="7"/>
  <c r="G80" i="7"/>
  <c r="I80" i="7" s="1"/>
  <c r="D80" i="7"/>
  <c r="C80" i="7"/>
  <c r="G79" i="7"/>
  <c r="I79" i="7" s="1"/>
  <c r="D79" i="7"/>
  <c r="C79" i="7"/>
  <c r="G78" i="7"/>
  <c r="I78" i="7" s="1"/>
  <c r="D78" i="7"/>
  <c r="C78" i="7"/>
  <c r="G77" i="7"/>
  <c r="I77" i="7" s="1"/>
  <c r="D77" i="7"/>
  <c r="C77" i="7"/>
  <c r="G76" i="7"/>
  <c r="I76" i="7" s="1"/>
  <c r="D76" i="7"/>
  <c r="C76" i="7"/>
  <c r="G75" i="7"/>
  <c r="I75" i="7" s="1"/>
  <c r="D75" i="7"/>
  <c r="C75" i="7"/>
  <c r="G74" i="7"/>
  <c r="I74" i="7" s="1"/>
  <c r="D74" i="7"/>
  <c r="C74" i="7"/>
  <c r="G73" i="7"/>
  <c r="I73" i="7" s="1"/>
  <c r="D73" i="7"/>
  <c r="C73" i="7"/>
  <c r="G72" i="7"/>
  <c r="I72" i="7" s="1"/>
  <c r="D72" i="7"/>
  <c r="C72" i="7"/>
  <c r="G71" i="7"/>
  <c r="I71" i="7" s="1"/>
  <c r="D71" i="7"/>
  <c r="C71" i="7"/>
  <c r="G70" i="7"/>
  <c r="I70" i="7" s="1"/>
  <c r="D70" i="7"/>
  <c r="C70" i="7"/>
  <c r="G69" i="7"/>
  <c r="I69" i="7" s="1"/>
  <c r="D69" i="7"/>
  <c r="C69" i="7"/>
  <c r="G68" i="7"/>
  <c r="I68" i="7" s="1"/>
  <c r="D68" i="7"/>
  <c r="C68" i="7"/>
  <c r="G67" i="7"/>
  <c r="I67" i="7" s="1"/>
  <c r="D67" i="7"/>
  <c r="C67" i="7"/>
  <c r="G66" i="7"/>
  <c r="I66" i="7" s="1"/>
  <c r="D66" i="7"/>
  <c r="C66" i="7"/>
  <c r="G65" i="7"/>
  <c r="I65" i="7" s="1"/>
  <c r="D65" i="7"/>
  <c r="C65" i="7"/>
  <c r="G64" i="7"/>
  <c r="I64" i="7" s="1"/>
  <c r="D64" i="7"/>
  <c r="C64" i="7"/>
  <c r="G63" i="7"/>
  <c r="I63" i="7" s="1"/>
  <c r="D63" i="7"/>
  <c r="C63" i="7"/>
  <c r="G62" i="7"/>
  <c r="I62" i="7" s="1"/>
  <c r="D62" i="7"/>
  <c r="C62" i="7"/>
  <c r="G61" i="7"/>
  <c r="I61" i="7" s="1"/>
  <c r="D61" i="7"/>
  <c r="C61" i="7"/>
  <c r="G60" i="7"/>
  <c r="I60" i="7" s="1"/>
  <c r="D60" i="7"/>
  <c r="C60" i="7"/>
  <c r="G59" i="7"/>
  <c r="I59" i="7" s="1"/>
  <c r="D59" i="7"/>
  <c r="C59" i="7"/>
  <c r="G58" i="7"/>
  <c r="I58" i="7" s="1"/>
  <c r="D58" i="7"/>
  <c r="C58" i="7"/>
  <c r="G57" i="7"/>
  <c r="I57" i="7" s="1"/>
  <c r="D57" i="7"/>
  <c r="C57" i="7"/>
  <c r="G56" i="7"/>
  <c r="I56" i="7" s="1"/>
  <c r="D56" i="7"/>
  <c r="C56" i="7"/>
  <c r="G55" i="7"/>
  <c r="I55" i="7" s="1"/>
  <c r="D55" i="7"/>
  <c r="C55" i="7"/>
  <c r="G54" i="7"/>
  <c r="I54" i="7" s="1"/>
  <c r="D54" i="7"/>
  <c r="C54" i="7"/>
  <c r="G53" i="7"/>
  <c r="I53" i="7" s="1"/>
  <c r="D53" i="7"/>
  <c r="C53" i="7"/>
  <c r="G52" i="7"/>
  <c r="I52" i="7" s="1"/>
  <c r="D52" i="7"/>
  <c r="C52" i="7"/>
  <c r="G51" i="7"/>
  <c r="I51" i="7" s="1"/>
  <c r="D51" i="7"/>
  <c r="C51" i="7"/>
  <c r="G50" i="7"/>
  <c r="I50" i="7" s="1"/>
  <c r="D50" i="7"/>
  <c r="C50" i="7"/>
  <c r="G49" i="7"/>
  <c r="I49" i="7" s="1"/>
  <c r="D49" i="7"/>
  <c r="C49" i="7"/>
  <c r="G48" i="7"/>
  <c r="I48" i="7" s="1"/>
  <c r="D48" i="7"/>
  <c r="C48" i="7"/>
  <c r="G47" i="7"/>
  <c r="I47" i="7" s="1"/>
  <c r="D47" i="7"/>
  <c r="C47" i="7"/>
  <c r="G46" i="7"/>
  <c r="I46" i="7" s="1"/>
  <c r="D46" i="7"/>
  <c r="C46" i="7"/>
  <c r="G45" i="7"/>
  <c r="I45" i="7" s="1"/>
  <c r="D45" i="7"/>
  <c r="C45" i="7"/>
  <c r="G44" i="7"/>
  <c r="I44" i="7" s="1"/>
  <c r="D44" i="7"/>
  <c r="C44" i="7"/>
  <c r="G43" i="7"/>
  <c r="I43" i="7" s="1"/>
  <c r="D43" i="7"/>
  <c r="C43" i="7"/>
  <c r="G42" i="7"/>
  <c r="I42" i="7" s="1"/>
  <c r="D42" i="7"/>
  <c r="C42" i="7"/>
  <c r="G41" i="7"/>
  <c r="I41" i="7" s="1"/>
  <c r="D41" i="7"/>
  <c r="C41" i="7"/>
  <c r="G40" i="7"/>
  <c r="I40" i="7" s="1"/>
  <c r="D40" i="7"/>
  <c r="C40" i="7"/>
  <c r="G39" i="7"/>
  <c r="I39" i="7" s="1"/>
  <c r="D39" i="7"/>
  <c r="C39" i="7"/>
  <c r="G38" i="7"/>
  <c r="I38" i="7" s="1"/>
  <c r="D38" i="7"/>
  <c r="C38" i="7"/>
  <c r="G37" i="7"/>
  <c r="I37" i="7" s="1"/>
  <c r="D37" i="7"/>
  <c r="C37" i="7"/>
  <c r="G36" i="7"/>
  <c r="I36" i="7" s="1"/>
  <c r="D36" i="7"/>
  <c r="C36" i="7"/>
  <c r="G35" i="7"/>
  <c r="I35" i="7" s="1"/>
  <c r="D35" i="7"/>
  <c r="C35" i="7"/>
  <c r="G34" i="7"/>
  <c r="I34" i="7" s="1"/>
  <c r="D34" i="7"/>
  <c r="C34" i="7"/>
  <c r="G33" i="7"/>
  <c r="I33" i="7" s="1"/>
  <c r="D33" i="7"/>
  <c r="C33" i="7"/>
  <c r="G32" i="7"/>
  <c r="I32" i="7" s="1"/>
  <c r="D32" i="7"/>
  <c r="C32" i="7"/>
  <c r="G31" i="7"/>
  <c r="I31" i="7" s="1"/>
  <c r="D31" i="7"/>
  <c r="C31" i="7"/>
  <c r="G30" i="7"/>
  <c r="I30" i="7" s="1"/>
  <c r="D30" i="7"/>
  <c r="C30" i="7"/>
  <c r="G29" i="7"/>
  <c r="I29" i="7" s="1"/>
  <c r="D29" i="7"/>
  <c r="C29" i="7"/>
  <c r="G28" i="7"/>
  <c r="I28" i="7" s="1"/>
  <c r="D28" i="7"/>
  <c r="C28" i="7"/>
  <c r="G27" i="7"/>
  <c r="I27" i="7" s="1"/>
  <c r="D27" i="7"/>
  <c r="C27" i="7"/>
  <c r="G26" i="7"/>
  <c r="I26" i="7" s="1"/>
  <c r="D26" i="7"/>
  <c r="C26" i="7"/>
  <c r="G25" i="7"/>
  <c r="I25" i="7" s="1"/>
  <c r="D25" i="7"/>
  <c r="C25" i="7"/>
  <c r="G24" i="7"/>
  <c r="I24" i="7" s="1"/>
  <c r="D24" i="7"/>
  <c r="C24" i="7"/>
  <c r="G23" i="7"/>
  <c r="I23" i="7" s="1"/>
  <c r="D23" i="7"/>
  <c r="C23" i="7"/>
  <c r="G22" i="7"/>
  <c r="I22" i="7" s="1"/>
  <c r="D22" i="7"/>
  <c r="C22" i="7"/>
  <c r="G21" i="7"/>
  <c r="I21" i="7" s="1"/>
  <c r="D21" i="7"/>
  <c r="C21" i="7"/>
  <c r="G20" i="7"/>
  <c r="I20" i="7" s="1"/>
  <c r="D20" i="7"/>
  <c r="C20" i="7"/>
  <c r="G19" i="7"/>
  <c r="I19" i="7" s="1"/>
  <c r="D19" i="7"/>
  <c r="C19" i="7"/>
  <c r="G18" i="7"/>
  <c r="I18" i="7" s="1"/>
  <c r="D18" i="7"/>
  <c r="C18" i="7"/>
  <c r="G17" i="7"/>
  <c r="I17" i="7" s="1"/>
  <c r="D17" i="7"/>
  <c r="C17" i="7"/>
  <c r="G16" i="7"/>
  <c r="I16" i="7" s="1"/>
  <c r="D16" i="7"/>
  <c r="C16" i="7"/>
  <c r="G15" i="7"/>
  <c r="I15" i="7" s="1"/>
  <c r="D15" i="7"/>
  <c r="C15" i="7"/>
  <c r="G14" i="7"/>
  <c r="I14" i="7" s="1"/>
  <c r="D14" i="7"/>
  <c r="C14" i="7"/>
  <c r="G13" i="7"/>
  <c r="I13" i="7" s="1"/>
  <c r="D13" i="7"/>
  <c r="C13" i="7"/>
  <c r="G12" i="7"/>
  <c r="I12" i="7" s="1"/>
  <c r="D12" i="7"/>
  <c r="C12" i="7"/>
  <c r="G11" i="7"/>
  <c r="I11" i="7" s="1"/>
  <c r="D11" i="7"/>
  <c r="C11" i="7"/>
  <c r="G10" i="7"/>
  <c r="I10" i="7" s="1"/>
  <c r="D10" i="7"/>
  <c r="C10" i="7"/>
  <c r="G9" i="7"/>
  <c r="I9" i="7" s="1"/>
  <c r="D9" i="7"/>
  <c r="C9" i="7"/>
  <c r="G8" i="7"/>
  <c r="I8" i="7" s="1"/>
  <c r="D8" i="7"/>
  <c r="G7" i="7"/>
  <c r="I7" i="7" s="1"/>
  <c r="D7" i="7"/>
  <c r="C7" i="7"/>
  <c r="G6" i="7"/>
  <c r="I6" i="7" s="1"/>
  <c r="D6" i="7"/>
  <c r="C6" i="7"/>
  <c r="G5" i="7"/>
  <c r="I5" i="7" s="1"/>
  <c r="C5" i="7"/>
  <c r="G4" i="7"/>
  <c r="D4" i="7"/>
  <c r="C4" i="7"/>
  <c r="J203" i="6"/>
  <c r="K203" i="6" s="1"/>
  <c r="E203" i="6"/>
  <c r="D203" i="6"/>
  <c r="C203" i="6"/>
  <c r="J202" i="6"/>
  <c r="K202" i="6" s="1"/>
  <c r="E202" i="6"/>
  <c r="D202" i="6"/>
  <c r="C202" i="6"/>
  <c r="J201" i="6"/>
  <c r="K201" i="6" s="1"/>
  <c r="E201" i="6"/>
  <c r="D201" i="6"/>
  <c r="C201" i="6"/>
  <c r="J200" i="6"/>
  <c r="K200" i="6" s="1"/>
  <c r="E200" i="6"/>
  <c r="D200" i="6"/>
  <c r="C200" i="6"/>
  <c r="J199" i="6"/>
  <c r="K199" i="6" s="1"/>
  <c r="E199" i="6"/>
  <c r="D199" i="6"/>
  <c r="C199" i="6"/>
  <c r="J198" i="6"/>
  <c r="K198" i="6" s="1"/>
  <c r="E198" i="6"/>
  <c r="D198" i="6"/>
  <c r="C198" i="6"/>
  <c r="J197" i="6"/>
  <c r="K197" i="6" s="1"/>
  <c r="E197" i="6"/>
  <c r="D197" i="6"/>
  <c r="C197" i="6"/>
  <c r="J196" i="6"/>
  <c r="K196" i="6" s="1"/>
  <c r="E196" i="6"/>
  <c r="D196" i="6"/>
  <c r="C196" i="6"/>
  <c r="J195" i="6"/>
  <c r="K195" i="6" s="1"/>
  <c r="E195" i="6"/>
  <c r="D195" i="6"/>
  <c r="C195" i="6"/>
  <c r="J194" i="6"/>
  <c r="K194" i="6" s="1"/>
  <c r="E194" i="6"/>
  <c r="D194" i="6"/>
  <c r="C194" i="6"/>
  <c r="J193" i="6"/>
  <c r="K193" i="6" s="1"/>
  <c r="E193" i="6"/>
  <c r="D193" i="6"/>
  <c r="C193" i="6"/>
  <c r="J192" i="6"/>
  <c r="K192" i="6" s="1"/>
  <c r="E192" i="6"/>
  <c r="D192" i="6"/>
  <c r="C192" i="6"/>
  <c r="J191" i="6"/>
  <c r="K191" i="6" s="1"/>
  <c r="E191" i="6"/>
  <c r="D191" i="6"/>
  <c r="C191" i="6"/>
  <c r="J190" i="6"/>
  <c r="K190" i="6" s="1"/>
  <c r="E190" i="6"/>
  <c r="D190" i="6"/>
  <c r="C190" i="6"/>
  <c r="J189" i="6"/>
  <c r="K189" i="6" s="1"/>
  <c r="E189" i="6"/>
  <c r="D189" i="6"/>
  <c r="C189" i="6"/>
  <c r="J188" i="6"/>
  <c r="K188" i="6" s="1"/>
  <c r="E188" i="6"/>
  <c r="D188" i="6"/>
  <c r="C188" i="6"/>
  <c r="J187" i="6"/>
  <c r="K187" i="6" s="1"/>
  <c r="E187" i="6"/>
  <c r="D187" i="6"/>
  <c r="C187" i="6"/>
  <c r="J186" i="6"/>
  <c r="K186" i="6" s="1"/>
  <c r="E186" i="6"/>
  <c r="D186" i="6"/>
  <c r="C186" i="6"/>
  <c r="J185" i="6"/>
  <c r="K185" i="6" s="1"/>
  <c r="E185" i="6"/>
  <c r="D185" i="6"/>
  <c r="C185" i="6"/>
  <c r="J184" i="6"/>
  <c r="K184" i="6" s="1"/>
  <c r="E184" i="6"/>
  <c r="D184" i="6"/>
  <c r="C184" i="6"/>
  <c r="J183" i="6"/>
  <c r="K183" i="6" s="1"/>
  <c r="E183" i="6"/>
  <c r="D183" i="6"/>
  <c r="C183" i="6"/>
  <c r="J182" i="6"/>
  <c r="K182" i="6" s="1"/>
  <c r="E182" i="6"/>
  <c r="D182" i="6"/>
  <c r="C182" i="6"/>
  <c r="J181" i="6"/>
  <c r="K181" i="6" s="1"/>
  <c r="E181" i="6"/>
  <c r="D181" i="6"/>
  <c r="C181" i="6"/>
  <c r="J180" i="6"/>
  <c r="K180" i="6" s="1"/>
  <c r="E180" i="6"/>
  <c r="D180" i="6"/>
  <c r="C180" i="6"/>
  <c r="J179" i="6"/>
  <c r="K179" i="6" s="1"/>
  <c r="E179" i="6"/>
  <c r="D179" i="6"/>
  <c r="C179" i="6"/>
  <c r="J178" i="6"/>
  <c r="K178" i="6" s="1"/>
  <c r="E178" i="6"/>
  <c r="D178" i="6"/>
  <c r="C178" i="6"/>
  <c r="J177" i="6"/>
  <c r="K177" i="6" s="1"/>
  <c r="E177" i="6"/>
  <c r="D177" i="6"/>
  <c r="C177" i="6"/>
  <c r="J176" i="6"/>
  <c r="K176" i="6" s="1"/>
  <c r="E176" i="6"/>
  <c r="D176" i="6"/>
  <c r="C176" i="6"/>
  <c r="J175" i="6"/>
  <c r="K175" i="6" s="1"/>
  <c r="E175" i="6"/>
  <c r="D175" i="6"/>
  <c r="C175" i="6"/>
  <c r="J174" i="6"/>
  <c r="K174" i="6" s="1"/>
  <c r="E174" i="6"/>
  <c r="D174" i="6"/>
  <c r="C174" i="6"/>
  <c r="J173" i="6"/>
  <c r="K173" i="6" s="1"/>
  <c r="E173" i="6"/>
  <c r="D173" i="6"/>
  <c r="C173" i="6"/>
  <c r="J172" i="6"/>
  <c r="K172" i="6" s="1"/>
  <c r="E172" i="6"/>
  <c r="D172" i="6"/>
  <c r="C172" i="6"/>
  <c r="J171" i="6"/>
  <c r="K171" i="6" s="1"/>
  <c r="E171" i="6"/>
  <c r="D171" i="6"/>
  <c r="C171" i="6"/>
  <c r="J170" i="6"/>
  <c r="K170" i="6" s="1"/>
  <c r="E170" i="6"/>
  <c r="D170" i="6"/>
  <c r="C170" i="6"/>
  <c r="J169" i="6"/>
  <c r="K169" i="6" s="1"/>
  <c r="E169" i="6"/>
  <c r="D169" i="6"/>
  <c r="C169" i="6"/>
  <c r="J168" i="6"/>
  <c r="K168" i="6" s="1"/>
  <c r="E168" i="6"/>
  <c r="D168" i="6"/>
  <c r="C168" i="6"/>
  <c r="J167" i="6"/>
  <c r="K167" i="6" s="1"/>
  <c r="E167" i="6"/>
  <c r="D167" i="6"/>
  <c r="C167" i="6"/>
  <c r="J166" i="6"/>
  <c r="K166" i="6" s="1"/>
  <c r="E166" i="6"/>
  <c r="D166" i="6"/>
  <c r="C166" i="6"/>
  <c r="J165" i="6"/>
  <c r="K165" i="6" s="1"/>
  <c r="E165" i="6"/>
  <c r="D165" i="6"/>
  <c r="C165" i="6"/>
  <c r="J164" i="6"/>
  <c r="K164" i="6" s="1"/>
  <c r="E164" i="6"/>
  <c r="D164" i="6"/>
  <c r="C164" i="6"/>
  <c r="J163" i="6"/>
  <c r="K163" i="6" s="1"/>
  <c r="E163" i="6"/>
  <c r="D163" i="6"/>
  <c r="C163" i="6"/>
  <c r="J162" i="6"/>
  <c r="K162" i="6" s="1"/>
  <c r="E162" i="6"/>
  <c r="D162" i="6"/>
  <c r="C162" i="6"/>
  <c r="J161" i="6"/>
  <c r="K161" i="6" s="1"/>
  <c r="E161" i="6"/>
  <c r="D161" i="6"/>
  <c r="C161" i="6"/>
  <c r="J160" i="6"/>
  <c r="K160" i="6" s="1"/>
  <c r="E160" i="6"/>
  <c r="D160" i="6"/>
  <c r="C160" i="6"/>
  <c r="J159" i="6"/>
  <c r="K159" i="6" s="1"/>
  <c r="E159" i="6"/>
  <c r="D159" i="6"/>
  <c r="C159" i="6"/>
  <c r="J158" i="6"/>
  <c r="K158" i="6" s="1"/>
  <c r="E158" i="6"/>
  <c r="D158" i="6"/>
  <c r="C158" i="6"/>
  <c r="J157" i="6"/>
  <c r="K157" i="6" s="1"/>
  <c r="E157" i="6"/>
  <c r="D157" i="6"/>
  <c r="C157" i="6"/>
  <c r="J156" i="6"/>
  <c r="K156" i="6" s="1"/>
  <c r="E156" i="6"/>
  <c r="D156" i="6"/>
  <c r="C156" i="6"/>
  <c r="J155" i="6"/>
  <c r="K155" i="6" s="1"/>
  <c r="E155" i="6"/>
  <c r="D155" i="6"/>
  <c r="C155" i="6"/>
  <c r="J154" i="6"/>
  <c r="K154" i="6" s="1"/>
  <c r="E154" i="6"/>
  <c r="D154" i="6"/>
  <c r="C154" i="6"/>
  <c r="J153" i="6"/>
  <c r="K153" i="6" s="1"/>
  <c r="E153" i="6"/>
  <c r="D153" i="6"/>
  <c r="C153" i="6"/>
  <c r="J152" i="6"/>
  <c r="K152" i="6" s="1"/>
  <c r="E152" i="6"/>
  <c r="D152" i="6"/>
  <c r="C152" i="6"/>
  <c r="J151" i="6"/>
  <c r="K151" i="6" s="1"/>
  <c r="E151" i="6"/>
  <c r="D151" i="6"/>
  <c r="C151" i="6"/>
  <c r="J150" i="6"/>
  <c r="K150" i="6" s="1"/>
  <c r="E150" i="6"/>
  <c r="D150" i="6"/>
  <c r="C150" i="6"/>
  <c r="J149" i="6"/>
  <c r="K149" i="6" s="1"/>
  <c r="E149" i="6"/>
  <c r="D149" i="6"/>
  <c r="C149" i="6"/>
  <c r="J148" i="6"/>
  <c r="K148" i="6" s="1"/>
  <c r="E148" i="6"/>
  <c r="D148" i="6"/>
  <c r="C148" i="6"/>
  <c r="J147" i="6"/>
  <c r="K147" i="6" s="1"/>
  <c r="E147" i="6"/>
  <c r="D147" i="6"/>
  <c r="C147" i="6"/>
  <c r="J146" i="6"/>
  <c r="K146" i="6" s="1"/>
  <c r="E146" i="6"/>
  <c r="D146" i="6"/>
  <c r="C146" i="6"/>
  <c r="J145" i="6"/>
  <c r="K145" i="6" s="1"/>
  <c r="E145" i="6"/>
  <c r="D145" i="6"/>
  <c r="C145" i="6"/>
  <c r="J144" i="6"/>
  <c r="K144" i="6" s="1"/>
  <c r="E144" i="6"/>
  <c r="D144" i="6"/>
  <c r="C144" i="6"/>
  <c r="J143" i="6"/>
  <c r="K143" i="6" s="1"/>
  <c r="E143" i="6"/>
  <c r="D143" i="6"/>
  <c r="C143" i="6"/>
  <c r="J142" i="6"/>
  <c r="K142" i="6" s="1"/>
  <c r="E142" i="6"/>
  <c r="D142" i="6"/>
  <c r="C142" i="6"/>
  <c r="J141" i="6"/>
  <c r="K141" i="6" s="1"/>
  <c r="E141" i="6"/>
  <c r="D141" i="6"/>
  <c r="C141" i="6"/>
  <c r="J140" i="6"/>
  <c r="K140" i="6" s="1"/>
  <c r="E140" i="6"/>
  <c r="D140" i="6"/>
  <c r="C140" i="6"/>
  <c r="J139" i="6"/>
  <c r="K139" i="6" s="1"/>
  <c r="E139" i="6"/>
  <c r="D139" i="6"/>
  <c r="C139" i="6"/>
  <c r="J138" i="6"/>
  <c r="K138" i="6" s="1"/>
  <c r="E138" i="6"/>
  <c r="D138" i="6"/>
  <c r="C138" i="6"/>
  <c r="J137" i="6"/>
  <c r="K137" i="6" s="1"/>
  <c r="E137" i="6"/>
  <c r="D137" i="6"/>
  <c r="C137" i="6"/>
  <c r="J136" i="6"/>
  <c r="K136" i="6" s="1"/>
  <c r="E136" i="6"/>
  <c r="D136" i="6"/>
  <c r="C136" i="6"/>
  <c r="J135" i="6"/>
  <c r="K135" i="6" s="1"/>
  <c r="E135" i="6"/>
  <c r="D135" i="6"/>
  <c r="C135" i="6"/>
  <c r="J134" i="6"/>
  <c r="K134" i="6" s="1"/>
  <c r="E134" i="6"/>
  <c r="D134" i="6"/>
  <c r="C134" i="6"/>
  <c r="J133" i="6"/>
  <c r="K133" i="6" s="1"/>
  <c r="E133" i="6"/>
  <c r="D133" i="6"/>
  <c r="C133" i="6"/>
  <c r="J132" i="6"/>
  <c r="K132" i="6" s="1"/>
  <c r="E132" i="6"/>
  <c r="D132" i="6"/>
  <c r="C132" i="6"/>
  <c r="J131" i="6"/>
  <c r="K131" i="6" s="1"/>
  <c r="E131" i="6"/>
  <c r="D131" i="6"/>
  <c r="C131" i="6"/>
  <c r="J130" i="6"/>
  <c r="K130" i="6" s="1"/>
  <c r="E130" i="6"/>
  <c r="D130" i="6"/>
  <c r="C130" i="6"/>
  <c r="J129" i="6"/>
  <c r="K129" i="6" s="1"/>
  <c r="E129" i="6"/>
  <c r="D129" i="6"/>
  <c r="C129" i="6"/>
  <c r="J128" i="6"/>
  <c r="K128" i="6" s="1"/>
  <c r="E128" i="6"/>
  <c r="D128" i="6"/>
  <c r="C128" i="6"/>
  <c r="J127" i="6"/>
  <c r="K127" i="6" s="1"/>
  <c r="E127" i="6"/>
  <c r="D127" i="6"/>
  <c r="C127" i="6"/>
  <c r="J126" i="6"/>
  <c r="K126" i="6" s="1"/>
  <c r="E126" i="6"/>
  <c r="D126" i="6"/>
  <c r="C126" i="6"/>
  <c r="J125" i="6"/>
  <c r="K125" i="6" s="1"/>
  <c r="E125" i="6"/>
  <c r="D125" i="6"/>
  <c r="C125" i="6"/>
  <c r="J124" i="6"/>
  <c r="K124" i="6" s="1"/>
  <c r="E124" i="6"/>
  <c r="D124" i="6"/>
  <c r="C124" i="6"/>
  <c r="J123" i="6"/>
  <c r="K123" i="6" s="1"/>
  <c r="E123" i="6"/>
  <c r="D123" i="6"/>
  <c r="C123" i="6"/>
  <c r="J122" i="6"/>
  <c r="K122" i="6" s="1"/>
  <c r="E122" i="6"/>
  <c r="D122" i="6"/>
  <c r="C122" i="6"/>
  <c r="J121" i="6"/>
  <c r="K121" i="6" s="1"/>
  <c r="E121" i="6"/>
  <c r="D121" i="6"/>
  <c r="C121" i="6"/>
  <c r="J120" i="6"/>
  <c r="K120" i="6" s="1"/>
  <c r="E120" i="6"/>
  <c r="D120" i="6"/>
  <c r="C120" i="6"/>
  <c r="J119" i="6"/>
  <c r="K119" i="6" s="1"/>
  <c r="E119" i="6"/>
  <c r="D119" i="6"/>
  <c r="C119" i="6"/>
  <c r="J118" i="6"/>
  <c r="K118" i="6" s="1"/>
  <c r="E118" i="6"/>
  <c r="D118" i="6"/>
  <c r="C118" i="6"/>
  <c r="J117" i="6"/>
  <c r="K117" i="6" s="1"/>
  <c r="E117" i="6"/>
  <c r="D117" i="6"/>
  <c r="C117" i="6"/>
  <c r="J116" i="6"/>
  <c r="K116" i="6" s="1"/>
  <c r="E116" i="6"/>
  <c r="D116" i="6"/>
  <c r="C116" i="6"/>
  <c r="J115" i="6"/>
  <c r="K115" i="6" s="1"/>
  <c r="E115" i="6"/>
  <c r="D115" i="6"/>
  <c r="C115" i="6"/>
  <c r="J114" i="6"/>
  <c r="K114" i="6" s="1"/>
  <c r="E114" i="6"/>
  <c r="D114" i="6"/>
  <c r="C114" i="6"/>
  <c r="J113" i="6"/>
  <c r="K113" i="6" s="1"/>
  <c r="E113" i="6"/>
  <c r="D113" i="6"/>
  <c r="C113" i="6"/>
  <c r="J112" i="6"/>
  <c r="K112" i="6" s="1"/>
  <c r="E112" i="6"/>
  <c r="D112" i="6"/>
  <c r="C112" i="6"/>
  <c r="J111" i="6"/>
  <c r="K111" i="6" s="1"/>
  <c r="E111" i="6"/>
  <c r="D111" i="6"/>
  <c r="C111" i="6"/>
  <c r="J110" i="6"/>
  <c r="K110" i="6" s="1"/>
  <c r="E110" i="6"/>
  <c r="D110" i="6"/>
  <c r="C110" i="6"/>
  <c r="J109" i="6"/>
  <c r="K109" i="6" s="1"/>
  <c r="E109" i="6"/>
  <c r="D109" i="6"/>
  <c r="C109" i="6"/>
  <c r="J108" i="6"/>
  <c r="K108" i="6" s="1"/>
  <c r="E108" i="6"/>
  <c r="D108" i="6"/>
  <c r="C108" i="6"/>
  <c r="J107" i="6"/>
  <c r="K107" i="6" s="1"/>
  <c r="E107" i="6"/>
  <c r="D107" i="6"/>
  <c r="C107" i="6"/>
  <c r="J106" i="6"/>
  <c r="K106" i="6" s="1"/>
  <c r="E106" i="6"/>
  <c r="D106" i="6"/>
  <c r="C106" i="6"/>
  <c r="J105" i="6"/>
  <c r="K105" i="6" s="1"/>
  <c r="E105" i="6"/>
  <c r="D105" i="6"/>
  <c r="C105" i="6"/>
  <c r="J104" i="6"/>
  <c r="K104" i="6" s="1"/>
  <c r="E104" i="6"/>
  <c r="D104" i="6"/>
  <c r="C104" i="6"/>
  <c r="J103" i="6"/>
  <c r="K103" i="6" s="1"/>
  <c r="E103" i="6"/>
  <c r="D103" i="6"/>
  <c r="C103" i="6"/>
  <c r="J102" i="6"/>
  <c r="K102" i="6" s="1"/>
  <c r="E102" i="6"/>
  <c r="D102" i="6"/>
  <c r="C102" i="6"/>
  <c r="J101" i="6"/>
  <c r="K101" i="6" s="1"/>
  <c r="E101" i="6"/>
  <c r="D101" i="6"/>
  <c r="C101" i="6"/>
  <c r="J100" i="6"/>
  <c r="K100" i="6" s="1"/>
  <c r="E100" i="6"/>
  <c r="D100" i="6"/>
  <c r="C100" i="6"/>
  <c r="J99" i="6"/>
  <c r="K99" i="6" s="1"/>
  <c r="E99" i="6"/>
  <c r="D99" i="6"/>
  <c r="C99" i="6"/>
  <c r="J98" i="6"/>
  <c r="K98" i="6" s="1"/>
  <c r="E98" i="6"/>
  <c r="D98" i="6"/>
  <c r="C98" i="6"/>
  <c r="J97" i="6"/>
  <c r="K97" i="6" s="1"/>
  <c r="E97" i="6"/>
  <c r="D97" i="6"/>
  <c r="C97" i="6"/>
  <c r="J96" i="6"/>
  <c r="K96" i="6" s="1"/>
  <c r="E96" i="6"/>
  <c r="D96" i="6"/>
  <c r="C96" i="6"/>
  <c r="J95" i="6"/>
  <c r="K95" i="6" s="1"/>
  <c r="E95" i="6"/>
  <c r="D95" i="6"/>
  <c r="C95" i="6"/>
  <c r="J94" i="6"/>
  <c r="K94" i="6" s="1"/>
  <c r="E94" i="6"/>
  <c r="D94" i="6"/>
  <c r="C94" i="6"/>
  <c r="J93" i="6"/>
  <c r="K93" i="6" s="1"/>
  <c r="E93" i="6"/>
  <c r="D93" i="6"/>
  <c r="C93" i="6"/>
  <c r="J92" i="6"/>
  <c r="K92" i="6" s="1"/>
  <c r="E92" i="6"/>
  <c r="D92" i="6"/>
  <c r="C92" i="6"/>
  <c r="J91" i="6"/>
  <c r="K91" i="6" s="1"/>
  <c r="E91" i="6"/>
  <c r="D91" i="6"/>
  <c r="C91" i="6"/>
  <c r="J90" i="6"/>
  <c r="K90" i="6" s="1"/>
  <c r="E90" i="6"/>
  <c r="D90" i="6"/>
  <c r="C90" i="6"/>
  <c r="J89" i="6"/>
  <c r="K89" i="6" s="1"/>
  <c r="E89" i="6"/>
  <c r="D89" i="6"/>
  <c r="C89" i="6"/>
  <c r="J88" i="6"/>
  <c r="K88" i="6" s="1"/>
  <c r="E88" i="6"/>
  <c r="D88" i="6"/>
  <c r="C88" i="6"/>
  <c r="J87" i="6"/>
  <c r="K87" i="6" s="1"/>
  <c r="E87" i="6"/>
  <c r="D87" i="6"/>
  <c r="C87" i="6"/>
  <c r="J86" i="6"/>
  <c r="K86" i="6" s="1"/>
  <c r="E86" i="6"/>
  <c r="D86" i="6"/>
  <c r="C86" i="6"/>
  <c r="J85" i="6"/>
  <c r="K85" i="6" s="1"/>
  <c r="E85" i="6"/>
  <c r="D85" i="6"/>
  <c r="C85" i="6"/>
  <c r="J84" i="6"/>
  <c r="K84" i="6" s="1"/>
  <c r="E84" i="6"/>
  <c r="D84" i="6"/>
  <c r="C84" i="6"/>
  <c r="J83" i="6"/>
  <c r="K83" i="6" s="1"/>
  <c r="E83" i="6"/>
  <c r="D83" i="6"/>
  <c r="C83" i="6"/>
  <c r="J82" i="6"/>
  <c r="K82" i="6" s="1"/>
  <c r="E82" i="6"/>
  <c r="D82" i="6"/>
  <c r="C82" i="6"/>
  <c r="J81" i="6"/>
  <c r="K81" i="6" s="1"/>
  <c r="E81" i="6"/>
  <c r="D81" i="6"/>
  <c r="C81" i="6"/>
  <c r="J80" i="6"/>
  <c r="K80" i="6" s="1"/>
  <c r="E80" i="6"/>
  <c r="D80" i="6"/>
  <c r="C80" i="6"/>
  <c r="J79" i="6"/>
  <c r="K79" i="6" s="1"/>
  <c r="E79" i="6"/>
  <c r="D79" i="6"/>
  <c r="C79" i="6"/>
  <c r="J78" i="6"/>
  <c r="K78" i="6" s="1"/>
  <c r="E78" i="6"/>
  <c r="D78" i="6"/>
  <c r="C78" i="6"/>
  <c r="J77" i="6"/>
  <c r="K77" i="6" s="1"/>
  <c r="E77" i="6"/>
  <c r="D77" i="6"/>
  <c r="C77" i="6"/>
  <c r="J76" i="6"/>
  <c r="K76" i="6" s="1"/>
  <c r="E76" i="6"/>
  <c r="D76" i="6"/>
  <c r="C76" i="6"/>
  <c r="J75" i="6"/>
  <c r="K75" i="6" s="1"/>
  <c r="E75" i="6"/>
  <c r="D75" i="6"/>
  <c r="C75" i="6"/>
  <c r="J74" i="6"/>
  <c r="K74" i="6" s="1"/>
  <c r="E74" i="6"/>
  <c r="D74" i="6"/>
  <c r="C74" i="6"/>
  <c r="J73" i="6"/>
  <c r="K73" i="6" s="1"/>
  <c r="E73" i="6"/>
  <c r="D73" i="6"/>
  <c r="C73" i="6"/>
  <c r="J72" i="6"/>
  <c r="K72" i="6" s="1"/>
  <c r="E72" i="6"/>
  <c r="D72" i="6"/>
  <c r="C72" i="6"/>
  <c r="J71" i="6"/>
  <c r="K71" i="6" s="1"/>
  <c r="E71" i="6"/>
  <c r="D71" i="6"/>
  <c r="C71" i="6"/>
  <c r="J70" i="6"/>
  <c r="K70" i="6" s="1"/>
  <c r="E70" i="6"/>
  <c r="D70" i="6"/>
  <c r="C70" i="6"/>
  <c r="J69" i="6"/>
  <c r="K69" i="6" s="1"/>
  <c r="E69" i="6"/>
  <c r="D69" i="6"/>
  <c r="C69" i="6"/>
  <c r="J68" i="6"/>
  <c r="K68" i="6" s="1"/>
  <c r="E68" i="6"/>
  <c r="D68" i="6"/>
  <c r="C68" i="6"/>
  <c r="J67" i="6"/>
  <c r="K67" i="6" s="1"/>
  <c r="E67" i="6"/>
  <c r="D67" i="6"/>
  <c r="C67" i="6"/>
  <c r="J66" i="6"/>
  <c r="K66" i="6" s="1"/>
  <c r="E66" i="6"/>
  <c r="D66" i="6"/>
  <c r="C66" i="6"/>
  <c r="J65" i="6"/>
  <c r="K65" i="6" s="1"/>
  <c r="E65" i="6"/>
  <c r="D65" i="6"/>
  <c r="C65" i="6"/>
  <c r="J64" i="6"/>
  <c r="K64" i="6" s="1"/>
  <c r="E64" i="6"/>
  <c r="D64" i="6"/>
  <c r="C64" i="6"/>
  <c r="J63" i="6"/>
  <c r="K63" i="6" s="1"/>
  <c r="E63" i="6"/>
  <c r="D63" i="6"/>
  <c r="C63" i="6"/>
  <c r="J62" i="6"/>
  <c r="K62" i="6" s="1"/>
  <c r="E62" i="6"/>
  <c r="D62" i="6"/>
  <c r="C62" i="6"/>
  <c r="J61" i="6"/>
  <c r="K61" i="6" s="1"/>
  <c r="E61" i="6"/>
  <c r="D61" i="6"/>
  <c r="C61" i="6"/>
  <c r="J60" i="6"/>
  <c r="K60" i="6" s="1"/>
  <c r="E60" i="6"/>
  <c r="D60" i="6"/>
  <c r="C60" i="6"/>
  <c r="J59" i="6"/>
  <c r="K59" i="6" s="1"/>
  <c r="E59" i="6"/>
  <c r="D59" i="6"/>
  <c r="C59" i="6"/>
  <c r="J58" i="6"/>
  <c r="K58" i="6" s="1"/>
  <c r="E58" i="6"/>
  <c r="D58" i="6"/>
  <c r="C58" i="6"/>
  <c r="J57" i="6"/>
  <c r="K57" i="6" s="1"/>
  <c r="E57" i="6"/>
  <c r="D57" i="6"/>
  <c r="C57" i="6"/>
  <c r="J56" i="6"/>
  <c r="K56" i="6" s="1"/>
  <c r="E56" i="6"/>
  <c r="D56" i="6"/>
  <c r="C56" i="6"/>
  <c r="J55" i="6"/>
  <c r="K55" i="6" s="1"/>
  <c r="E55" i="6"/>
  <c r="D55" i="6"/>
  <c r="C55" i="6"/>
  <c r="J54" i="6"/>
  <c r="K54" i="6" s="1"/>
  <c r="E54" i="6"/>
  <c r="D54" i="6"/>
  <c r="C54" i="6"/>
  <c r="J53" i="6"/>
  <c r="K53" i="6" s="1"/>
  <c r="E53" i="6"/>
  <c r="D53" i="6"/>
  <c r="C53" i="6"/>
  <c r="J52" i="6"/>
  <c r="K52" i="6" s="1"/>
  <c r="E52" i="6"/>
  <c r="D52" i="6"/>
  <c r="C52" i="6"/>
  <c r="J51" i="6"/>
  <c r="K51" i="6" s="1"/>
  <c r="E51" i="6"/>
  <c r="D51" i="6"/>
  <c r="C51" i="6"/>
  <c r="J50" i="6"/>
  <c r="K50" i="6" s="1"/>
  <c r="E50" i="6"/>
  <c r="D50" i="6"/>
  <c r="C50" i="6"/>
  <c r="J49" i="6"/>
  <c r="K49" i="6" s="1"/>
  <c r="E49" i="6"/>
  <c r="D49" i="6"/>
  <c r="C49" i="6"/>
  <c r="J48" i="6"/>
  <c r="K48" i="6" s="1"/>
  <c r="E48" i="6"/>
  <c r="D48" i="6"/>
  <c r="C48" i="6"/>
  <c r="J47" i="6"/>
  <c r="K47" i="6" s="1"/>
  <c r="E47" i="6"/>
  <c r="D47" i="6"/>
  <c r="C47" i="6"/>
  <c r="J46" i="6"/>
  <c r="K46" i="6" s="1"/>
  <c r="E46" i="6"/>
  <c r="D46" i="6"/>
  <c r="C46" i="6"/>
  <c r="J45" i="6"/>
  <c r="K45" i="6" s="1"/>
  <c r="E45" i="6"/>
  <c r="D45" i="6"/>
  <c r="C45" i="6"/>
  <c r="J44" i="6"/>
  <c r="K44" i="6" s="1"/>
  <c r="E44" i="6"/>
  <c r="D44" i="6"/>
  <c r="C44" i="6"/>
  <c r="J43" i="6"/>
  <c r="K43" i="6" s="1"/>
  <c r="E43" i="6"/>
  <c r="D43" i="6"/>
  <c r="C43" i="6"/>
  <c r="J42" i="6"/>
  <c r="K42" i="6" s="1"/>
  <c r="E42" i="6"/>
  <c r="D42" i="6"/>
  <c r="C42" i="6"/>
  <c r="J41" i="6"/>
  <c r="K41" i="6" s="1"/>
  <c r="E41" i="6"/>
  <c r="D41" i="6"/>
  <c r="C41" i="6"/>
  <c r="J40" i="6"/>
  <c r="K40" i="6" s="1"/>
  <c r="E40" i="6"/>
  <c r="D40" i="6"/>
  <c r="C40" i="6"/>
  <c r="J39" i="6"/>
  <c r="K39" i="6" s="1"/>
  <c r="E39" i="6"/>
  <c r="D39" i="6"/>
  <c r="C39" i="6"/>
  <c r="J38" i="6"/>
  <c r="K38" i="6" s="1"/>
  <c r="E38" i="6"/>
  <c r="D38" i="6"/>
  <c r="C38" i="6"/>
  <c r="J37" i="6"/>
  <c r="K37" i="6" s="1"/>
  <c r="E37" i="6"/>
  <c r="D37" i="6"/>
  <c r="C37" i="6"/>
  <c r="J36" i="6"/>
  <c r="K36" i="6" s="1"/>
  <c r="E36" i="6"/>
  <c r="D36" i="6"/>
  <c r="C36" i="6"/>
  <c r="J35" i="6"/>
  <c r="K35" i="6" s="1"/>
  <c r="E35" i="6"/>
  <c r="D35" i="6"/>
  <c r="C35" i="6"/>
  <c r="J34" i="6"/>
  <c r="K34" i="6" s="1"/>
  <c r="E34" i="6"/>
  <c r="D34" i="6"/>
  <c r="C34" i="6"/>
  <c r="J33" i="6"/>
  <c r="K33" i="6" s="1"/>
  <c r="E33" i="6"/>
  <c r="D33" i="6"/>
  <c r="C33" i="6"/>
  <c r="J32" i="6"/>
  <c r="K32" i="6" s="1"/>
  <c r="E32" i="6"/>
  <c r="D32" i="6"/>
  <c r="C32" i="6"/>
  <c r="J31" i="6"/>
  <c r="K31" i="6" s="1"/>
  <c r="E31" i="6"/>
  <c r="D31" i="6"/>
  <c r="C31" i="6"/>
  <c r="J30" i="6"/>
  <c r="K30" i="6" s="1"/>
  <c r="E30" i="6"/>
  <c r="D30" i="6"/>
  <c r="C30" i="6"/>
  <c r="J29" i="6"/>
  <c r="K29" i="6" s="1"/>
  <c r="E29" i="6"/>
  <c r="D29" i="6"/>
  <c r="C29" i="6"/>
  <c r="J28" i="6"/>
  <c r="K28" i="6" s="1"/>
  <c r="E28" i="6"/>
  <c r="D28" i="6"/>
  <c r="C28" i="6"/>
  <c r="J27" i="6"/>
  <c r="K27" i="6" s="1"/>
  <c r="E27" i="6"/>
  <c r="D27" i="6"/>
  <c r="C27" i="6"/>
  <c r="J26" i="6"/>
  <c r="K26" i="6" s="1"/>
  <c r="E26" i="6"/>
  <c r="D26" i="6"/>
  <c r="C26" i="6"/>
  <c r="J25" i="6"/>
  <c r="K25" i="6" s="1"/>
  <c r="E25" i="6"/>
  <c r="D25" i="6"/>
  <c r="C25" i="6"/>
  <c r="J24" i="6"/>
  <c r="K24" i="6" s="1"/>
  <c r="E24" i="6"/>
  <c r="D24" i="6"/>
  <c r="C24" i="6"/>
  <c r="J23" i="6"/>
  <c r="K23" i="6" s="1"/>
  <c r="E23" i="6"/>
  <c r="D23" i="6"/>
  <c r="C23" i="6"/>
  <c r="J22" i="6"/>
  <c r="K22" i="6" s="1"/>
  <c r="E22" i="6"/>
  <c r="D22" i="6"/>
  <c r="C22" i="6"/>
  <c r="J21" i="6"/>
  <c r="K21" i="6" s="1"/>
  <c r="E21" i="6"/>
  <c r="D21" i="6"/>
  <c r="C21" i="6"/>
  <c r="J20" i="6"/>
  <c r="K20" i="6" s="1"/>
  <c r="E20" i="6"/>
  <c r="D20" i="6"/>
  <c r="C20" i="6"/>
  <c r="J19" i="6"/>
  <c r="K19" i="6" s="1"/>
  <c r="E19" i="6"/>
  <c r="D19" i="6"/>
  <c r="C19" i="6"/>
  <c r="J18" i="6"/>
  <c r="K18" i="6" s="1"/>
  <c r="E18" i="6"/>
  <c r="D18" i="6"/>
  <c r="C18" i="6"/>
  <c r="J17" i="6"/>
  <c r="K17" i="6" s="1"/>
  <c r="E17" i="6"/>
  <c r="D17" i="6"/>
  <c r="C17" i="6"/>
  <c r="J16" i="6"/>
  <c r="K16" i="6" s="1"/>
  <c r="E16" i="6"/>
  <c r="D16" i="6"/>
  <c r="C16" i="6"/>
  <c r="J15" i="6"/>
  <c r="K15" i="6" s="1"/>
  <c r="E15" i="6"/>
  <c r="D15" i="6"/>
  <c r="C15" i="6"/>
  <c r="J14" i="6"/>
  <c r="K14" i="6" s="1"/>
  <c r="E14" i="6"/>
  <c r="D14" i="6"/>
  <c r="C14" i="6"/>
  <c r="J13" i="6"/>
  <c r="K13" i="6" s="1"/>
  <c r="E13" i="6"/>
  <c r="D13" i="6"/>
  <c r="C13" i="6"/>
  <c r="J12" i="6"/>
  <c r="K12" i="6" s="1"/>
  <c r="E12" i="6"/>
  <c r="D12" i="6"/>
  <c r="C12" i="6"/>
  <c r="J11" i="6"/>
  <c r="K11" i="6" s="1"/>
  <c r="E11" i="6"/>
  <c r="D11" i="6"/>
  <c r="C11" i="6"/>
  <c r="J10" i="6"/>
  <c r="K10" i="6" s="1"/>
  <c r="E10" i="6"/>
  <c r="D10" i="6"/>
  <c r="C10" i="6"/>
  <c r="J9" i="6"/>
  <c r="K9" i="6" s="1"/>
  <c r="E9" i="6"/>
  <c r="D9" i="6"/>
  <c r="C9" i="6"/>
  <c r="J8" i="6"/>
  <c r="K8" i="6" s="1"/>
  <c r="E8" i="6"/>
  <c r="D8" i="6"/>
  <c r="C8" i="6"/>
  <c r="J7" i="6"/>
  <c r="K7" i="6" s="1"/>
  <c r="E7" i="6"/>
  <c r="D7" i="6"/>
  <c r="C7" i="6"/>
  <c r="J6" i="6"/>
  <c r="K6" i="6" s="1"/>
  <c r="E6" i="6"/>
  <c r="D6" i="6"/>
  <c r="C6" i="6"/>
  <c r="J5" i="6"/>
  <c r="K5" i="6" s="1"/>
  <c r="E5" i="6"/>
  <c r="D5" i="6"/>
  <c r="C5" i="6"/>
  <c r="E4" i="6"/>
  <c r="F64" i="5"/>
  <c r="R63" i="5"/>
  <c r="P63" i="5"/>
  <c r="O63" i="5"/>
  <c r="N63" i="5"/>
  <c r="M63" i="5"/>
  <c r="L63" i="5"/>
  <c r="G63" i="5"/>
  <c r="R62" i="5"/>
  <c r="P62" i="5"/>
  <c r="O62" i="5"/>
  <c r="N62" i="5"/>
  <c r="M62" i="5"/>
  <c r="L62" i="5"/>
  <c r="G62" i="5"/>
  <c r="R61" i="5"/>
  <c r="P61" i="5"/>
  <c r="O61" i="5"/>
  <c r="N61" i="5"/>
  <c r="M61" i="5"/>
  <c r="L61" i="5"/>
  <c r="G61" i="5"/>
  <c r="P60" i="5"/>
  <c r="N60" i="5"/>
  <c r="M60" i="5"/>
  <c r="M64" i="5" s="1"/>
  <c r="L60" i="5"/>
  <c r="G60" i="5"/>
  <c r="O60" i="5" s="1"/>
  <c r="R59" i="5"/>
  <c r="P59" i="5"/>
  <c r="O59" i="5"/>
  <c r="N59" i="5"/>
  <c r="M59" i="5"/>
  <c r="L59" i="5"/>
  <c r="G59" i="5"/>
  <c r="R58" i="5"/>
  <c r="P58" i="5"/>
  <c r="O58" i="5"/>
  <c r="N58" i="5"/>
  <c r="M58" i="5"/>
  <c r="L58" i="5"/>
  <c r="G58" i="5"/>
  <c r="R57" i="5"/>
  <c r="P57" i="5"/>
  <c r="O57" i="5"/>
  <c r="N57" i="5"/>
  <c r="M57" i="5"/>
  <c r="L57" i="5"/>
  <c r="G57" i="5"/>
  <c r="R56" i="5"/>
  <c r="P56" i="5"/>
  <c r="O56" i="5"/>
  <c r="N56" i="5"/>
  <c r="M56" i="5"/>
  <c r="L56" i="5"/>
  <c r="G56" i="5"/>
  <c r="R55" i="5"/>
  <c r="P55" i="5"/>
  <c r="O55" i="5"/>
  <c r="N55" i="5"/>
  <c r="M55" i="5"/>
  <c r="L55" i="5"/>
  <c r="G55" i="5"/>
  <c r="R54" i="5"/>
  <c r="P54" i="5"/>
  <c r="O54" i="5"/>
  <c r="N54" i="5"/>
  <c r="M54" i="5"/>
  <c r="L54" i="5"/>
  <c r="G54" i="5"/>
  <c r="R53" i="5"/>
  <c r="P53" i="5"/>
  <c r="O53" i="5"/>
  <c r="N53" i="5"/>
  <c r="M53" i="5"/>
  <c r="L53" i="5"/>
  <c r="G53" i="5"/>
  <c r="R52" i="5"/>
  <c r="P52" i="5"/>
  <c r="O52" i="5"/>
  <c r="N52" i="5"/>
  <c r="M52" i="5"/>
  <c r="L52" i="5"/>
  <c r="G52" i="5"/>
  <c r="R51" i="5"/>
  <c r="P51" i="5"/>
  <c r="O51" i="5"/>
  <c r="N51" i="5"/>
  <c r="M51" i="5"/>
  <c r="L51" i="5"/>
  <c r="G51" i="5"/>
  <c r="R50" i="5"/>
  <c r="P50" i="5"/>
  <c r="O50" i="5"/>
  <c r="N50" i="5"/>
  <c r="M50" i="5"/>
  <c r="L50" i="5"/>
  <c r="G50" i="5"/>
  <c r="R49" i="5"/>
  <c r="P49" i="5"/>
  <c r="O49" i="5"/>
  <c r="N49" i="5"/>
  <c r="M49" i="5"/>
  <c r="L49" i="5"/>
  <c r="G49" i="5"/>
  <c r="R48" i="5"/>
  <c r="P48" i="5"/>
  <c r="O48" i="5"/>
  <c r="N48" i="5"/>
  <c r="M48" i="5"/>
  <c r="L48" i="5"/>
  <c r="G48" i="5"/>
  <c r="R47" i="5"/>
  <c r="P47" i="5"/>
  <c r="O47" i="5"/>
  <c r="N47" i="5"/>
  <c r="M47" i="5"/>
  <c r="L47" i="5"/>
  <c r="G47" i="5"/>
  <c r="R46" i="5"/>
  <c r="P46" i="5"/>
  <c r="O46" i="5"/>
  <c r="N46" i="5"/>
  <c r="M46" i="5"/>
  <c r="L46" i="5"/>
  <c r="G46" i="5"/>
  <c r="R45" i="5"/>
  <c r="P45" i="5"/>
  <c r="O45" i="5"/>
  <c r="N45" i="5"/>
  <c r="M45" i="5"/>
  <c r="L45" i="5"/>
  <c r="G45" i="5"/>
  <c r="R44" i="5"/>
  <c r="P44" i="5"/>
  <c r="O44" i="5"/>
  <c r="N44" i="5"/>
  <c r="M44" i="5"/>
  <c r="L44" i="5"/>
  <c r="G44" i="5"/>
  <c r="R43" i="5"/>
  <c r="P43" i="5"/>
  <c r="O43" i="5"/>
  <c r="N43" i="5"/>
  <c r="M43" i="5"/>
  <c r="L43" i="5"/>
  <c r="G43" i="5"/>
  <c r="R42" i="5"/>
  <c r="P42" i="5"/>
  <c r="O42" i="5"/>
  <c r="N42" i="5"/>
  <c r="M42" i="5"/>
  <c r="L42" i="5"/>
  <c r="G42" i="5"/>
  <c r="R41" i="5"/>
  <c r="P41" i="5"/>
  <c r="O41" i="5"/>
  <c r="N41" i="5"/>
  <c r="M41" i="5"/>
  <c r="L41" i="5"/>
  <c r="G41" i="5"/>
  <c r="R40" i="5"/>
  <c r="P40" i="5"/>
  <c r="O40" i="5"/>
  <c r="N40" i="5"/>
  <c r="M40" i="5"/>
  <c r="L40" i="5"/>
  <c r="G40" i="5"/>
  <c r="R39" i="5"/>
  <c r="P39" i="5"/>
  <c r="O39" i="5"/>
  <c r="N39" i="5"/>
  <c r="M39" i="5"/>
  <c r="L39" i="5"/>
  <c r="G39" i="5"/>
  <c r="R38" i="5"/>
  <c r="P38" i="5"/>
  <c r="O38" i="5"/>
  <c r="N38" i="5"/>
  <c r="M38" i="5"/>
  <c r="L38" i="5"/>
  <c r="G38" i="5"/>
  <c r="R37" i="5"/>
  <c r="P37" i="5"/>
  <c r="O37" i="5"/>
  <c r="N37" i="5"/>
  <c r="M37" i="5"/>
  <c r="L37" i="5"/>
  <c r="G37" i="5"/>
  <c r="R36" i="5"/>
  <c r="P36" i="5"/>
  <c r="O36" i="5"/>
  <c r="N36" i="5"/>
  <c r="M36" i="5"/>
  <c r="L36" i="5"/>
  <c r="G36" i="5"/>
  <c r="R35" i="5"/>
  <c r="P35" i="5"/>
  <c r="O35" i="5"/>
  <c r="N35" i="5"/>
  <c r="M35" i="5"/>
  <c r="L35" i="5"/>
  <c r="G35" i="5"/>
  <c r="R34" i="5"/>
  <c r="P34" i="5"/>
  <c r="O34" i="5"/>
  <c r="N34" i="5"/>
  <c r="M34" i="5"/>
  <c r="L34" i="5"/>
  <c r="G34" i="5"/>
  <c r="R33" i="5"/>
  <c r="P33" i="5"/>
  <c r="O33" i="5"/>
  <c r="N33" i="5"/>
  <c r="M33" i="5"/>
  <c r="L33" i="5"/>
  <c r="G33" i="5"/>
  <c r="R32" i="5"/>
  <c r="P32" i="5"/>
  <c r="O32" i="5"/>
  <c r="N32" i="5"/>
  <c r="M32" i="5"/>
  <c r="L32" i="5"/>
  <c r="G32" i="5"/>
  <c r="R31" i="5"/>
  <c r="P31" i="5"/>
  <c r="O31" i="5"/>
  <c r="N31" i="5"/>
  <c r="M31" i="5"/>
  <c r="L31" i="5"/>
  <c r="G31" i="5"/>
  <c r="R30" i="5"/>
  <c r="P30" i="5"/>
  <c r="O30" i="5"/>
  <c r="N30" i="5"/>
  <c r="M30" i="5"/>
  <c r="L30" i="5"/>
  <c r="G30" i="5"/>
  <c r="R29" i="5"/>
  <c r="P29" i="5"/>
  <c r="O29" i="5"/>
  <c r="N29" i="5"/>
  <c r="M29" i="5"/>
  <c r="L29" i="5"/>
  <c r="G29" i="5"/>
  <c r="R28" i="5"/>
  <c r="P28" i="5"/>
  <c r="O28" i="5"/>
  <c r="N28" i="5"/>
  <c r="M28" i="5"/>
  <c r="L28" i="5"/>
  <c r="G28" i="5"/>
  <c r="R27" i="5"/>
  <c r="P27" i="5"/>
  <c r="O27" i="5"/>
  <c r="N27" i="5"/>
  <c r="M27" i="5"/>
  <c r="L27" i="5"/>
  <c r="G27" i="5"/>
  <c r="R26" i="5"/>
  <c r="P26" i="5"/>
  <c r="O26" i="5"/>
  <c r="Q26" i="5" s="1"/>
  <c r="N26" i="5"/>
  <c r="M26" i="5"/>
  <c r="L26" i="5"/>
  <c r="G26" i="5"/>
  <c r="R25" i="5"/>
  <c r="P25" i="5"/>
  <c r="O25" i="5"/>
  <c r="Q25" i="5" s="1"/>
  <c r="N25" i="5"/>
  <c r="M25" i="5"/>
  <c r="L25" i="5"/>
  <c r="G25" i="5"/>
  <c r="R24" i="5"/>
  <c r="P24" i="5"/>
  <c r="O24" i="5"/>
  <c r="Q24" i="5" s="1"/>
  <c r="N24" i="5"/>
  <c r="M24" i="5"/>
  <c r="L24" i="5"/>
  <c r="G24" i="5"/>
  <c r="R23" i="5"/>
  <c r="P23" i="5"/>
  <c r="O23" i="5"/>
  <c r="Q23" i="5" s="1"/>
  <c r="N23" i="5"/>
  <c r="M23" i="5"/>
  <c r="L23" i="5"/>
  <c r="G23" i="5"/>
  <c r="R22" i="5"/>
  <c r="P22" i="5"/>
  <c r="O22" i="5"/>
  <c r="Q22" i="5" s="1"/>
  <c r="N22" i="5"/>
  <c r="M22" i="5"/>
  <c r="L22" i="5"/>
  <c r="G22" i="5"/>
  <c r="R21" i="5"/>
  <c r="P21" i="5"/>
  <c r="O21" i="5"/>
  <c r="Q21" i="5" s="1"/>
  <c r="N21" i="5"/>
  <c r="M21" i="5"/>
  <c r="L21" i="5"/>
  <c r="G21" i="5"/>
  <c r="R20" i="5"/>
  <c r="P20" i="5"/>
  <c r="O20" i="5"/>
  <c r="Q20" i="5" s="1"/>
  <c r="N20" i="5"/>
  <c r="M20" i="5"/>
  <c r="L20" i="5"/>
  <c r="G20" i="5"/>
  <c r="R19" i="5"/>
  <c r="P19" i="5"/>
  <c r="O19" i="5"/>
  <c r="Q19" i="5" s="1"/>
  <c r="N19" i="5"/>
  <c r="M19" i="5"/>
  <c r="L19" i="5"/>
  <c r="G19" i="5"/>
  <c r="R18" i="5"/>
  <c r="P18" i="5"/>
  <c r="O18" i="5"/>
  <c r="Q18" i="5" s="1"/>
  <c r="N18" i="5"/>
  <c r="M18" i="5"/>
  <c r="L18" i="5"/>
  <c r="G18" i="5"/>
  <c r="R17" i="5"/>
  <c r="P17" i="5"/>
  <c r="O17" i="5"/>
  <c r="N17" i="5"/>
  <c r="M17" i="5"/>
  <c r="L17" i="5"/>
  <c r="G17" i="5"/>
  <c r="R16" i="5"/>
  <c r="P16" i="5"/>
  <c r="O16" i="5"/>
  <c r="N16" i="5"/>
  <c r="M16" i="5"/>
  <c r="L16" i="5"/>
  <c r="G16" i="5"/>
  <c r="R15" i="5"/>
  <c r="P15" i="5"/>
  <c r="O15" i="5"/>
  <c r="N15" i="5"/>
  <c r="M15" i="5"/>
  <c r="L15" i="5"/>
  <c r="G15" i="5"/>
  <c r="R14" i="5"/>
  <c r="P14" i="5"/>
  <c r="O14" i="5"/>
  <c r="N14" i="5"/>
  <c r="M14" i="5"/>
  <c r="L14" i="5"/>
  <c r="G14" i="5"/>
  <c r="R13" i="5"/>
  <c r="P13" i="5"/>
  <c r="O13" i="5"/>
  <c r="N13" i="5"/>
  <c r="M13" i="5"/>
  <c r="L13" i="5"/>
  <c r="G13" i="5"/>
  <c r="R12" i="5"/>
  <c r="P12" i="5"/>
  <c r="O12" i="5"/>
  <c r="N12" i="5"/>
  <c r="M12" i="5"/>
  <c r="L12" i="5"/>
  <c r="G12" i="5"/>
  <c r="R11" i="5"/>
  <c r="P11" i="5"/>
  <c r="O11" i="5"/>
  <c r="N11" i="5"/>
  <c r="M11" i="5"/>
  <c r="L11" i="5"/>
  <c r="G11" i="5"/>
  <c r="R10" i="5"/>
  <c r="P10" i="5"/>
  <c r="O10" i="5"/>
  <c r="N10" i="5"/>
  <c r="M10" i="5"/>
  <c r="L10" i="5"/>
  <c r="G10" i="5"/>
  <c r="R9" i="5"/>
  <c r="P9" i="5"/>
  <c r="O9" i="5"/>
  <c r="N9" i="5"/>
  <c r="M9" i="5"/>
  <c r="L9" i="5"/>
  <c r="G9" i="5"/>
  <c r="R8" i="5"/>
  <c r="P8" i="5"/>
  <c r="O8" i="5"/>
  <c r="N8" i="5"/>
  <c r="M8" i="5"/>
  <c r="L8" i="5"/>
  <c r="G8" i="5"/>
  <c r="R7" i="5"/>
  <c r="P7" i="5"/>
  <c r="O7" i="5"/>
  <c r="N7" i="5"/>
  <c r="M7" i="5"/>
  <c r="L7" i="5"/>
  <c r="R6" i="5"/>
  <c r="P6" i="5"/>
  <c r="O6" i="5"/>
  <c r="N6" i="5"/>
  <c r="M6" i="5"/>
  <c r="L6" i="5"/>
  <c r="G6" i="5"/>
  <c r="R5" i="5"/>
  <c r="P5" i="5"/>
  <c r="O5" i="5"/>
  <c r="N5" i="5"/>
  <c r="M5" i="5"/>
  <c r="L5" i="5"/>
  <c r="G5" i="5"/>
  <c r="P4" i="5"/>
  <c r="P64" i="5" s="1"/>
  <c r="N4" i="5"/>
  <c r="G4" i="5"/>
  <c r="BD54" i="4"/>
  <c r="BC54" i="4"/>
  <c r="BB54" i="4"/>
  <c r="BA54" i="4"/>
  <c r="L72" i="11" s="1"/>
  <c r="AZ54" i="4"/>
  <c r="AY54" i="4"/>
  <c r="AX54" i="4"/>
  <c r="AW54" i="4"/>
  <c r="K72" i="11" s="1"/>
  <c r="AV54" i="4"/>
  <c r="AU54" i="4"/>
  <c r="AT54" i="4"/>
  <c r="AS54" i="4"/>
  <c r="AR54" i="4"/>
  <c r="AQ54" i="4"/>
  <c r="AP54" i="4"/>
  <c r="AO54" i="4"/>
  <c r="AN54" i="4"/>
  <c r="I72" i="11" s="1"/>
  <c r="AM54" i="4"/>
  <c r="AL54" i="4"/>
  <c r="AK54" i="4"/>
  <c r="AJ54" i="4"/>
  <c r="AI54" i="4"/>
  <c r="H72" i="11" s="1"/>
  <c r="AH54" i="4"/>
  <c r="AG54" i="4"/>
  <c r="AF54" i="4"/>
  <c r="AE54" i="4"/>
  <c r="G72" i="11" s="1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D72" i="11" s="1"/>
  <c r="Q54" i="4"/>
  <c r="P54" i="4"/>
  <c r="O54" i="4"/>
  <c r="N54" i="4"/>
  <c r="C72" i="11" s="1"/>
  <c r="M54" i="4"/>
  <c r="L54" i="4"/>
  <c r="K54" i="4"/>
  <c r="J54" i="4"/>
  <c r="B72" i="11" s="1"/>
  <c r="I54" i="4"/>
  <c r="H54" i="4"/>
  <c r="G54" i="4"/>
  <c r="F54" i="4"/>
  <c r="E54" i="4"/>
  <c r="A72" i="11" s="1"/>
  <c r="BE53" i="4"/>
  <c r="D53" i="4"/>
  <c r="C53" i="4"/>
  <c r="B53" i="4"/>
  <c r="A53" i="4"/>
  <c r="BH53" i="4" s="1"/>
  <c r="BF52" i="4"/>
  <c r="BE52" i="4"/>
  <c r="D52" i="4"/>
  <c r="BI52" i="4" s="1"/>
  <c r="C52" i="4"/>
  <c r="B52" i="4"/>
  <c r="A52" i="4"/>
  <c r="BH52" i="4" s="1"/>
  <c r="BE51" i="4"/>
  <c r="D51" i="4"/>
  <c r="C51" i="4"/>
  <c r="B51" i="4"/>
  <c r="A51" i="4"/>
  <c r="BH51" i="4" s="1"/>
  <c r="BE50" i="4"/>
  <c r="D50" i="4"/>
  <c r="C50" i="4"/>
  <c r="B50" i="4"/>
  <c r="A50" i="4"/>
  <c r="BH50" i="4" s="1"/>
  <c r="BE49" i="4"/>
  <c r="D49" i="4"/>
  <c r="C49" i="4"/>
  <c r="B49" i="4"/>
  <c r="A49" i="4"/>
  <c r="BH49" i="4" s="1"/>
  <c r="BE48" i="4"/>
  <c r="D48" i="4"/>
  <c r="C48" i="4"/>
  <c r="B48" i="4"/>
  <c r="A48" i="4"/>
  <c r="BH48" i="4" s="1"/>
  <c r="BE47" i="4"/>
  <c r="D47" i="4"/>
  <c r="C47" i="4"/>
  <c r="B47" i="4"/>
  <c r="A47" i="4"/>
  <c r="BH47" i="4" s="1"/>
  <c r="BE46" i="4"/>
  <c r="D46" i="4"/>
  <c r="C46" i="4"/>
  <c r="B46" i="4"/>
  <c r="A46" i="4"/>
  <c r="BH46" i="4" s="1"/>
  <c r="BE45" i="4"/>
  <c r="D45" i="4"/>
  <c r="C45" i="4"/>
  <c r="B45" i="4"/>
  <c r="A45" i="4"/>
  <c r="BH45" i="4" s="1"/>
  <c r="BE44" i="4"/>
  <c r="D44" i="4"/>
  <c r="C44" i="4"/>
  <c r="B44" i="4"/>
  <c r="A44" i="4"/>
  <c r="BH44" i="4" s="1"/>
  <c r="BE43" i="4"/>
  <c r="D43" i="4"/>
  <c r="C43" i="4"/>
  <c r="B43" i="4"/>
  <c r="A43" i="4"/>
  <c r="BH43" i="4" s="1"/>
  <c r="BE42" i="4"/>
  <c r="D42" i="4"/>
  <c r="C42" i="4"/>
  <c r="B42" i="4"/>
  <c r="A42" i="4"/>
  <c r="BH42" i="4" s="1"/>
  <c r="BE41" i="4"/>
  <c r="D41" i="4"/>
  <c r="C41" i="4"/>
  <c r="B41" i="4"/>
  <c r="A41" i="4"/>
  <c r="BH41" i="4" s="1"/>
  <c r="BE40" i="4"/>
  <c r="D40" i="4"/>
  <c r="C40" i="4"/>
  <c r="B40" i="4"/>
  <c r="A40" i="4"/>
  <c r="BH40" i="4" s="1"/>
  <c r="BE39" i="4"/>
  <c r="D39" i="4"/>
  <c r="C39" i="4"/>
  <c r="B39" i="4"/>
  <c r="A39" i="4"/>
  <c r="BH39" i="4" s="1"/>
  <c r="BE38" i="4"/>
  <c r="D38" i="4"/>
  <c r="C38" i="4"/>
  <c r="B38" i="4"/>
  <c r="A38" i="4"/>
  <c r="BH38" i="4" s="1"/>
  <c r="BE37" i="4"/>
  <c r="D37" i="4"/>
  <c r="C37" i="4"/>
  <c r="B37" i="4"/>
  <c r="A37" i="4"/>
  <c r="BH37" i="4" s="1"/>
  <c r="BE36" i="4"/>
  <c r="D36" i="4"/>
  <c r="C36" i="4"/>
  <c r="B36" i="4"/>
  <c r="A36" i="4"/>
  <c r="BH36" i="4" s="1"/>
  <c r="BE35" i="4"/>
  <c r="D35" i="4"/>
  <c r="C35" i="4"/>
  <c r="B35" i="4"/>
  <c r="A35" i="4"/>
  <c r="BH35" i="4" s="1"/>
  <c r="BE34" i="4"/>
  <c r="D34" i="4"/>
  <c r="C34" i="4"/>
  <c r="B34" i="4"/>
  <c r="A34" i="4"/>
  <c r="BH34" i="4" s="1"/>
  <c r="BE33" i="4"/>
  <c r="D33" i="4"/>
  <c r="C33" i="4"/>
  <c r="B33" i="4"/>
  <c r="A33" i="4"/>
  <c r="BH33" i="4" s="1"/>
  <c r="BE32" i="4"/>
  <c r="D32" i="4"/>
  <c r="C32" i="4"/>
  <c r="B32" i="4"/>
  <c r="A32" i="4"/>
  <c r="BH32" i="4" s="1"/>
  <c r="BE31" i="4"/>
  <c r="D31" i="4"/>
  <c r="C31" i="4"/>
  <c r="B31" i="4"/>
  <c r="A31" i="4"/>
  <c r="BH31" i="4" s="1"/>
  <c r="BE30" i="4"/>
  <c r="D30" i="4"/>
  <c r="C30" i="4"/>
  <c r="B30" i="4"/>
  <c r="A30" i="4"/>
  <c r="BH30" i="4" s="1"/>
  <c r="BE29" i="4"/>
  <c r="D29" i="4"/>
  <c r="C29" i="4"/>
  <c r="B29" i="4"/>
  <c r="A29" i="4"/>
  <c r="BH29" i="4" s="1"/>
  <c r="BE28" i="4"/>
  <c r="D28" i="4"/>
  <c r="C28" i="4"/>
  <c r="B28" i="4"/>
  <c r="A28" i="4"/>
  <c r="BH28" i="4" s="1"/>
  <c r="BE27" i="4"/>
  <c r="D27" i="4"/>
  <c r="C27" i="4"/>
  <c r="B27" i="4"/>
  <c r="A27" i="4"/>
  <c r="BH27" i="4" s="1"/>
  <c r="BE26" i="4"/>
  <c r="D26" i="4"/>
  <c r="C26" i="4"/>
  <c r="B26" i="4"/>
  <c r="A26" i="4"/>
  <c r="BH26" i="4" s="1"/>
  <c r="BE25" i="4"/>
  <c r="D25" i="4"/>
  <c r="C25" i="4"/>
  <c r="B25" i="4"/>
  <c r="A25" i="4"/>
  <c r="BH25" i="4" s="1"/>
  <c r="BE24" i="4"/>
  <c r="D24" i="4"/>
  <c r="C24" i="4"/>
  <c r="B24" i="4"/>
  <c r="A24" i="4"/>
  <c r="BH24" i="4" s="1"/>
  <c r="BE23" i="4"/>
  <c r="D23" i="4"/>
  <c r="C23" i="4"/>
  <c r="B23" i="4"/>
  <c r="A23" i="4"/>
  <c r="BH23" i="4" s="1"/>
  <c r="BE22" i="4"/>
  <c r="D22" i="4"/>
  <c r="C22" i="4"/>
  <c r="B22" i="4"/>
  <c r="A22" i="4"/>
  <c r="BH22" i="4" s="1"/>
  <c r="BE21" i="4"/>
  <c r="D21" i="4"/>
  <c r="C21" i="4"/>
  <c r="B21" i="4"/>
  <c r="A21" i="4"/>
  <c r="BH21" i="4" s="1"/>
  <c r="BE20" i="4"/>
  <c r="D20" i="4"/>
  <c r="C20" i="4"/>
  <c r="B20" i="4"/>
  <c r="A20" i="4"/>
  <c r="BH20" i="4" s="1"/>
  <c r="BE19" i="4"/>
  <c r="D19" i="4"/>
  <c r="C19" i="4"/>
  <c r="B19" i="4"/>
  <c r="A19" i="4"/>
  <c r="BH19" i="4" s="1"/>
  <c r="BE18" i="4"/>
  <c r="D18" i="4"/>
  <c r="C18" i="4"/>
  <c r="B18" i="4"/>
  <c r="A18" i="4"/>
  <c r="BH18" i="4" s="1"/>
  <c r="BE17" i="4"/>
  <c r="D17" i="4"/>
  <c r="C17" i="4"/>
  <c r="B17" i="4"/>
  <c r="A17" i="4"/>
  <c r="BH17" i="4" s="1"/>
  <c r="BE16" i="4"/>
  <c r="D16" i="4"/>
  <c r="C16" i="4"/>
  <c r="B16" i="4"/>
  <c r="A16" i="4"/>
  <c r="BH16" i="4" s="1"/>
  <c r="BE15" i="4"/>
  <c r="D15" i="4"/>
  <c r="C15" i="4"/>
  <c r="B15" i="4"/>
  <c r="A15" i="4"/>
  <c r="BH15" i="4" s="1"/>
  <c r="BE14" i="4"/>
  <c r="E14" i="9" s="1"/>
  <c r="D14" i="4"/>
  <c r="C14" i="4"/>
  <c r="B14" i="4"/>
  <c r="A14" i="4"/>
  <c r="BH14" i="4" s="1"/>
  <c r="BE13" i="4"/>
  <c r="D13" i="4"/>
  <c r="C13" i="4"/>
  <c r="B13" i="4"/>
  <c r="A13" i="4"/>
  <c r="BH13" i="4" s="1"/>
  <c r="BE12" i="4"/>
  <c r="D12" i="4"/>
  <c r="C12" i="4"/>
  <c r="B12" i="4"/>
  <c r="A12" i="4"/>
  <c r="BH12" i="4" s="1"/>
  <c r="BE11" i="4"/>
  <c r="D11" i="4"/>
  <c r="C11" i="4"/>
  <c r="B11" i="4"/>
  <c r="A11" i="4"/>
  <c r="BH11" i="4" s="1"/>
  <c r="BE10" i="4"/>
  <c r="D10" i="4"/>
  <c r="C10" i="4"/>
  <c r="B10" i="4"/>
  <c r="A10" i="4"/>
  <c r="BH10" i="4" s="1"/>
  <c r="BE9" i="4"/>
  <c r="B9" i="4"/>
  <c r="A9" i="4"/>
  <c r="BH9" i="4" s="1"/>
  <c r="BE8" i="4"/>
  <c r="D8" i="4"/>
  <c r="C8" i="4"/>
  <c r="B8" i="4"/>
  <c r="A8" i="4"/>
  <c r="BH8" i="4" s="1"/>
  <c r="BE7" i="4"/>
  <c r="D7" i="4"/>
  <c r="C7" i="4"/>
  <c r="B7" i="4"/>
  <c r="A7" i="4"/>
  <c r="BH7" i="4" s="1"/>
  <c r="BE6" i="4"/>
  <c r="C6" i="4"/>
  <c r="B6" i="4"/>
  <c r="A6" i="4"/>
  <c r="BH6" i="4" s="1"/>
  <c r="BE5" i="4"/>
  <c r="D5" i="4"/>
  <c r="C5" i="4"/>
  <c r="B5" i="4"/>
  <c r="A5" i="4"/>
  <c r="BH5" i="4" s="1"/>
  <c r="BE4" i="4"/>
  <c r="D4" i="4"/>
  <c r="A4" i="4"/>
  <c r="BH4" i="4" s="1"/>
  <c r="J72" i="11" l="1"/>
  <c r="Q16" i="5"/>
  <c r="Q15" i="5"/>
  <c r="Q17" i="5"/>
  <c r="Q46" i="5"/>
  <c r="Q45" i="5"/>
  <c r="Q33" i="5"/>
  <c r="Q32" i="5"/>
  <c r="Q10" i="5"/>
  <c r="Q9" i="5"/>
  <c r="Q59" i="5"/>
  <c r="Q49" i="5"/>
  <c r="Q41" i="5"/>
  <c r="Q40" i="5"/>
  <c r="Q37" i="5"/>
  <c r="Q35" i="5"/>
  <c r="Q31" i="5"/>
  <c r="Q62" i="5"/>
  <c r="Q52" i="5"/>
  <c r="Q29" i="5"/>
  <c r="Q28" i="5"/>
  <c r="Q27" i="5"/>
  <c r="Q13" i="5"/>
  <c r="Q12" i="5"/>
  <c r="Q6" i="5"/>
  <c r="Q5" i="5"/>
  <c r="Q61" i="5"/>
  <c r="Q56" i="5"/>
  <c r="Q54" i="5"/>
  <c r="Q51" i="5"/>
  <c r="Q48" i="5"/>
  <c r="Q42" i="5"/>
  <c r="Q38" i="5"/>
  <c r="Q34" i="5"/>
  <c r="Q30" i="5"/>
  <c r="Q8" i="5"/>
  <c r="Q7" i="5"/>
  <c r="Q63" i="5"/>
  <c r="Q60" i="5"/>
  <c r="R60" i="5" s="1"/>
  <c r="Q58" i="5"/>
  <c r="Q57" i="5"/>
  <c r="Q55" i="5"/>
  <c r="Q53" i="5"/>
  <c r="Q50" i="5"/>
  <c r="Q47" i="5"/>
  <c r="Q44" i="5"/>
  <c r="Q43" i="5"/>
  <c r="Q39" i="5"/>
  <c r="Q36" i="5"/>
  <c r="Q11" i="5"/>
  <c r="Q14" i="5"/>
  <c r="G64" i="5"/>
  <c r="O4" i="5"/>
  <c r="Q4" i="5" s="1"/>
  <c r="J4" i="6" s="1"/>
  <c r="K4" i="6" s="1"/>
  <c r="N64" i="5"/>
  <c r="G53" i="9"/>
  <c r="F53" i="9"/>
  <c r="F67" i="11" s="1"/>
  <c r="B67" i="11"/>
  <c r="B66" i="11"/>
  <c r="F52" i="9"/>
  <c r="F66" i="11" s="1"/>
  <c r="G52" i="9"/>
  <c r="B65" i="11"/>
  <c r="G51" i="9"/>
  <c r="F51" i="9"/>
  <c r="F65" i="11" s="1"/>
  <c r="F50" i="9"/>
  <c r="F64" i="11" s="1"/>
  <c r="B64" i="11"/>
  <c r="G50" i="9"/>
  <c r="G49" i="9"/>
  <c r="F49" i="9"/>
  <c r="F63" i="11" s="1"/>
  <c r="B63" i="11"/>
  <c r="G48" i="9"/>
  <c r="F48" i="9"/>
  <c r="F62" i="11" s="1"/>
  <c r="B62" i="11"/>
  <c r="G47" i="9"/>
  <c r="B61" i="11"/>
  <c r="F47" i="9"/>
  <c r="F61" i="11" s="1"/>
  <c r="F46" i="9"/>
  <c r="F60" i="11" s="1"/>
  <c r="B60" i="11"/>
  <c r="G46" i="9"/>
  <c r="G45" i="9"/>
  <c r="F45" i="9"/>
  <c r="F59" i="11" s="1"/>
  <c r="B59" i="11"/>
  <c r="G44" i="9"/>
  <c r="F44" i="9"/>
  <c r="F58" i="11" s="1"/>
  <c r="B58" i="11"/>
  <c r="G43" i="9"/>
  <c r="F43" i="9"/>
  <c r="F57" i="11" s="1"/>
  <c r="B57" i="11"/>
  <c r="G42" i="9"/>
  <c r="F42" i="9"/>
  <c r="F56" i="11" s="1"/>
  <c r="B56" i="11"/>
  <c r="B55" i="11"/>
  <c r="G41" i="9"/>
  <c r="F41" i="9"/>
  <c r="F55" i="11" s="1"/>
  <c r="G40" i="9"/>
  <c r="F40" i="9"/>
  <c r="F54" i="11" s="1"/>
  <c r="B54" i="11"/>
  <c r="G39" i="9"/>
  <c r="B53" i="11"/>
  <c r="F39" i="9"/>
  <c r="F53" i="11" s="1"/>
  <c r="G38" i="9"/>
  <c r="F38" i="9"/>
  <c r="F52" i="11" s="1"/>
  <c r="B52" i="11"/>
  <c r="G37" i="9"/>
  <c r="F37" i="9"/>
  <c r="F51" i="11" s="1"/>
  <c r="B51" i="11"/>
  <c r="G36" i="9"/>
  <c r="B50" i="11"/>
  <c r="F36" i="9"/>
  <c r="F50" i="11" s="1"/>
  <c r="F35" i="9"/>
  <c r="F49" i="11" s="1"/>
  <c r="B49" i="11"/>
  <c r="G35" i="9"/>
  <c r="G34" i="9"/>
  <c r="F34" i="9"/>
  <c r="F48" i="11" s="1"/>
  <c r="B48" i="11"/>
  <c r="F33" i="9"/>
  <c r="F47" i="11" s="1"/>
  <c r="B47" i="11"/>
  <c r="G33" i="9"/>
  <c r="B46" i="11"/>
  <c r="F32" i="9"/>
  <c r="F46" i="11" s="1"/>
  <c r="G32" i="9"/>
  <c r="B45" i="11"/>
  <c r="F31" i="9"/>
  <c r="F45" i="11" s="1"/>
  <c r="G31" i="9"/>
  <c r="B44" i="11"/>
  <c r="F30" i="9"/>
  <c r="F44" i="11" s="1"/>
  <c r="G30" i="9"/>
  <c r="G29" i="9"/>
  <c r="B43" i="11"/>
  <c r="F29" i="9"/>
  <c r="F43" i="11" s="1"/>
  <c r="G28" i="9"/>
  <c r="B42" i="11"/>
  <c r="F28" i="9"/>
  <c r="F42" i="11" s="1"/>
  <c r="B41" i="11"/>
  <c r="G27" i="9"/>
  <c r="F27" i="9"/>
  <c r="F41" i="11" s="1"/>
  <c r="B40" i="11"/>
  <c r="G26" i="9"/>
  <c r="F26" i="9"/>
  <c r="F40" i="11" s="1"/>
  <c r="F25" i="9"/>
  <c r="F39" i="11" s="1"/>
  <c r="G25" i="9"/>
  <c r="B39" i="11"/>
  <c r="F24" i="9"/>
  <c r="F38" i="11" s="1"/>
  <c r="G24" i="9"/>
  <c r="B38" i="11"/>
  <c r="B37" i="11"/>
  <c r="F23" i="9"/>
  <c r="F37" i="11" s="1"/>
  <c r="G23" i="9"/>
  <c r="B36" i="11"/>
  <c r="F22" i="9"/>
  <c r="F36" i="11" s="1"/>
  <c r="G22" i="9"/>
  <c r="B35" i="11"/>
  <c r="F21" i="9"/>
  <c r="F35" i="11" s="1"/>
  <c r="G21" i="9"/>
  <c r="G20" i="9"/>
  <c r="B34" i="11"/>
  <c r="F20" i="9"/>
  <c r="F34" i="11" s="1"/>
  <c r="G19" i="9"/>
  <c r="B33" i="11"/>
  <c r="F19" i="9"/>
  <c r="F33" i="11" s="1"/>
  <c r="F18" i="9"/>
  <c r="F32" i="11" s="1"/>
  <c r="G18" i="9"/>
  <c r="F17" i="9"/>
  <c r="F31" i="11" s="1"/>
  <c r="G17" i="9"/>
  <c r="G16" i="9"/>
  <c r="F16" i="9"/>
  <c r="F30" i="11" s="1"/>
  <c r="G15" i="9"/>
  <c r="F15" i="9"/>
  <c r="F29" i="11" s="1"/>
  <c r="G14" i="9"/>
  <c r="F14" i="9"/>
  <c r="G13" i="9"/>
  <c r="F13" i="9"/>
  <c r="F27" i="11" s="1"/>
  <c r="F12" i="9"/>
  <c r="F26" i="11" s="1"/>
  <c r="G12" i="9"/>
  <c r="F11" i="9"/>
  <c r="F25" i="11" s="1"/>
  <c r="G11" i="9"/>
  <c r="F10" i="9"/>
  <c r="F24" i="11" s="1"/>
  <c r="G10" i="9"/>
  <c r="G9" i="9"/>
  <c r="F9" i="9"/>
  <c r="F23" i="11" s="1"/>
  <c r="F8" i="9"/>
  <c r="F22" i="11" s="1"/>
  <c r="G8" i="9"/>
  <c r="F7" i="9"/>
  <c r="F21" i="11" s="1"/>
  <c r="G7" i="9"/>
  <c r="F6" i="9"/>
  <c r="F20" i="11" s="1"/>
  <c r="G6" i="9"/>
  <c r="F5" i="9"/>
  <c r="F19" i="11" s="1"/>
  <c r="G5" i="9"/>
  <c r="G4" i="9"/>
  <c r="F4" i="9"/>
  <c r="I4" i="7"/>
  <c r="I304" i="7" s="1"/>
  <c r="G10" i="11" s="1"/>
  <c r="G304" i="7"/>
  <c r="L64" i="5"/>
  <c r="J5" i="11"/>
  <c r="E53" i="9"/>
  <c r="BI53" i="4"/>
  <c r="BF53" i="4"/>
  <c r="BG53" i="4" s="1"/>
  <c r="BG52" i="4"/>
  <c r="E52" i="9"/>
  <c r="E51" i="9"/>
  <c r="BF51" i="4"/>
  <c r="BG51" i="4" s="1"/>
  <c r="BI51" i="4"/>
  <c r="E50" i="9"/>
  <c r="BI50" i="4"/>
  <c r="BF50" i="4"/>
  <c r="BG50" i="4" s="1"/>
  <c r="E49" i="9"/>
  <c r="BI49" i="4"/>
  <c r="BF49" i="4"/>
  <c r="BG49" i="4" s="1"/>
  <c r="E48" i="9"/>
  <c r="BF48" i="4"/>
  <c r="BG48" i="4" s="1"/>
  <c r="BI48" i="4"/>
  <c r="E47" i="9"/>
  <c r="BF47" i="4"/>
  <c r="BG47" i="4" s="1"/>
  <c r="BI47" i="4"/>
  <c r="E46" i="9"/>
  <c r="BI46" i="4"/>
  <c r="BF46" i="4"/>
  <c r="BG46" i="4" s="1"/>
  <c r="E45" i="9"/>
  <c r="BI45" i="4"/>
  <c r="BF45" i="4"/>
  <c r="BG45" i="4" s="1"/>
  <c r="E44" i="9"/>
  <c r="BF44" i="4"/>
  <c r="BG44" i="4" s="1"/>
  <c r="BI44" i="4"/>
  <c r="E43" i="9"/>
  <c r="BF43" i="4"/>
  <c r="BG43" i="4" s="1"/>
  <c r="BI43" i="4"/>
  <c r="E42" i="9"/>
  <c r="BF42" i="4"/>
  <c r="BG42" i="4" s="1"/>
  <c r="BI42" i="4"/>
  <c r="E41" i="9"/>
  <c r="BI41" i="4"/>
  <c r="BF41" i="4"/>
  <c r="BG41" i="4" s="1"/>
  <c r="E40" i="9"/>
  <c r="BI40" i="4"/>
  <c r="BF40" i="4"/>
  <c r="BG40" i="4" s="1"/>
  <c r="E39" i="9"/>
  <c r="BF39" i="4"/>
  <c r="BG39" i="4" s="1"/>
  <c r="BI39" i="4"/>
  <c r="E38" i="9"/>
  <c r="BI38" i="4"/>
  <c r="BF38" i="4"/>
  <c r="BG38" i="4" s="1"/>
  <c r="E37" i="9"/>
  <c r="BI37" i="4"/>
  <c r="BF37" i="4"/>
  <c r="BG37" i="4" s="1"/>
  <c r="E36" i="9"/>
  <c r="BI36" i="4"/>
  <c r="BF36" i="4"/>
  <c r="BG36" i="4" s="1"/>
  <c r="E35" i="9"/>
  <c r="BI35" i="4"/>
  <c r="BF35" i="4"/>
  <c r="BG35" i="4" s="1"/>
  <c r="E34" i="9"/>
  <c r="BI34" i="4"/>
  <c r="BF34" i="4"/>
  <c r="BG34" i="4" s="1"/>
  <c r="E33" i="9"/>
  <c r="BF33" i="4"/>
  <c r="BG33" i="4" s="1"/>
  <c r="BI33" i="4"/>
  <c r="E32" i="9"/>
  <c r="BI32" i="4"/>
  <c r="BF32" i="4"/>
  <c r="BG32" i="4" s="1"/>
  <c r="E31" i="9"/>
  <c r="BI31" i="4"/>
  <c r="BF31" i="4"/>
  <c r="BG31" i="4" s="1"/>
  <c r="E30" i="9"/>
  <c r="BI30" i="4"/>
  <c r="BF30" i="4"/>
  <c r="BG30" i="4" s="1"/>
  <c r="E29" i="9"/>
  <c r="BF29" i="4"/>
  <c r="BG29" i="4" s="1"/>
  <c r="BI29" i="4"/>
  <c r="E28" i="9"/>
  <c r="BF28" i="4"/>
  <c r="BG28" i="4" s="1"/>
  <c r="BI28" i="4"/>
  <c r="E27" i="9"/>
  <c r="BF27" i="4"/>
  <c r="BG27" i="4" s="1"/>
  <c r="BI27" i="4"/>
  <c r="E26" i="9"/>
  <c r="BI26" i="4"/>
  <c r="BF26" i="4"/>
  <c r="BG26" i="4" s="1"/>
  <c r="E25" i="9"/>
  <c r="BF25" i="4"/>
  <c r="BG25" i="4" s="1"/>
  <c r="BI25" i="4"/>
  <c r="E24" i="9"/>
  <c r="BF24" i="4"/>
  <c r="BG24" i="4" s="1"/>
  <c r="BI24" i="4"/>
  <c r="E23" i="9"/>
  <c r="BI23" i="4"/>
  <c r="BF23" i="4"/>
  <c r="BG23" i="4" s="1"/>
  <c r="E22" i="9"/>
  <c r="BI22" i="4"/>
  <c r="BF22" i="4"/>
  <c r="BG22" i="4" s="1"/>
  <c r="E21" i="9"/>
  <c r="BF21" i="4"/>
  <c r="BG21" i="4" s="1"/>
  <c r="BI21" i="4"/>
  <c r="E20" i="9"/>
  <c r="BF20" i="4"/>
  <c r="BG20" i="4" s="1"/>
  <c r="BI20" i="4"/>
  <c r="E19" i="9"/>
  <c r="BI19" i="4"/>
  <c r="BF19" i="4"/>
  <c r="BG19" i="4" s="1"/>
  <c r="E18" i="9"/>
  <c r="BI18" i="4"/>
  <c r="BF18" i="4"/>
  <c r="BG18" i="4" s="1"/>
  <c r="E17" i="9"/>
  <c r="BF17" i="4"/>
  <c r="BG17" i="4" s="1"/>
  <c r="BI17" i="4"/>
  <c r="E16" i="9"/>
  <c r="BF16" i="4"/>
  <c r="BG16" i="4" s="1"/>
  <c r="BI16" i="4"/>
  <c r="BG15" i="4"/>
  <c r="E15" i="9"/>
  <c r="BF15" i="4"/>
  <c r="BI15" i="4"/>
  <c r="E28" i="11"/>
  <c r="BI14" i="4"/>
  <c r="BF14" i="4"/>
  <c r="BG14" i="4" s="1"/>
  <c r="E13" i="9"/>
  <c r="BF13" i="4"/>
  <c r="BG13" i="4" s="1"/>
  <c r="BI13" i="4"/>
  <c r="E12" i="9"/>
  <c r="BI12" i="4"/>
  <c r="BF12" i="4"/>
  <c r="BG12" i="4" s="1"/>
  <c r="E11" i="9"/>
  <c r="BF11" i="4"/>
  <c r="BG11" i="4" s="1"/>
  <c r="BI11" i="4"/>
  <c r="E10" i="9"/>
  <c r="BI10" i="4"/>
  <c r="BF10" i="4"/>
  <c r="BG10" i="4" s="1"/>
  <c r="E9" i="9"/>
  <c r="BI9" i="4"/>
  <c r="BF9" i="4"/>
  <c r="BG9" i="4" s="1"/>
  <c r="E8" i="9"/>
  <c r="BI8" i="4"/>
  <c r="BF8" i="4"/>
  <c r="BG8" i="4" s="1"/>
  <c r="E7" i="9"/>
  <c r="BF7" i="4"/>
  <c r="BG7" i="4" s="1"/>
  <c r="BI7" i="4"/>
  <c r="E6" i="9"/>
  <c r="BF6" i="4"/>
  <c r="BG6" i="4" s="1"/>
  <c r="BI6" i="4"/>
  <c r="E5" i="9"/>
  <c r="BI5" i="4"/>
  <c r="BF5" i="4"/>
  <c r="BG5" i="4" s="1"/>
  <c r="BE54" i="4"/>
  <c r="D5" i="11"/>
  <c r="E4" i="9"/>
  <c r="BF4" i="4"/>
  <c r="BG4" i="4" s="1"/>
  <c r="I31" i="9" l="1"/>
  <c r="I45" i="11" s="1"/>
  <c r="O64" i="5"/>
  <c r="J10" i="11"/>
  <c r="I53" i="9"/>
  <c r="I67" i="11" s="1"/>
  <c r="G67" i="11"/>
  <c r="I52" i="9"/>
  <c r="I66" i="11" s="1"/>
  <c r="G66" i="11"/>
  <c r="I51" i="9"/>
  <c r="I65" i="11" s="1"/>
  <c r="G65" i="11"/>
  <c r="I50" i="9"/>
  <c r="I64" i="11" s="1"/>
  <c r="G64" i="11"/>
  <c r="I49" i="9"/>
  <c r="I63" i="11" s="1"/>
  <c r="G63" i="11"/>
  <c r="I48" i="9"/>
  <c r="I62" i="11" s="1"/>
  <c r="G62" i="11"/>
  <c r="I47" i="9"/>
  <c r="I61" i="11" s="1"/>
  <c r="G61" i="11"/>
  <c r="I46" i="9"/>
  <c r="I60" i="11" s="1"/>
  <c r="G60" i="11"/>
  <c r="I45" i="9"/>
  <c r="I59" i="11" s="1"/>
  <c r="G59" i="11"/>
  <c r="I44" i="9"/>
  <c r="I58" i="11" s="1"/>
  <c r="G58" i="11"/>
  <c r="I43" i="9"/>
  <c r="I57" i="11" s="1"/>
  <c r="G57" i="11"/>
  <c r="I42" i="9"/>
  <c r="I56" i="11" s="1"/>
  <c r="G56" i="11"/>
  <c r="I41" i="9"/>
  <c r="I55" i="11" s="1"/>
  <c r="G55" i="11"/>
  <c r="I40" i="9"/>
  <c r="I54" i="11" s="1"/>
  <c r="G54" i="11"/>
  <c r="I39" i="9"/>
  <c r="I53" i="11" s="1"/>
  <c r="G53" i="11"/>
  <c r="I38" i="9"/>
  <c r="I52" i="11" s="1"/>
  <c r="G52" i="11"/>
  <c r="I37" i="9"/>
  <c r="I51" i="11" s="1"/>
  <c r="G51" i="11"/>
  <c r="I36" i="9"/>
  <c r="I50" i="11" s="1"/>
  <c r="G50" i="11"/>
  <c r="I35" i="9"/>
  <c r="I49" i="11" s="1"/>
  <c r="G49" i="11"/>
  <c r="I34" i="9"/>
  <c r="I48" i="11" s="1"/>
  <c r="G48" i="11"/>
  <c r="I33" i="9"/>
  <c r="I47" i="11" s="1"/>
  <c r="G47" i="11"/>
  <c r="I32" i="9"/>
  <c r="I46" i="11" s="1"/>
  <c r="G46" i="11"/>
  <c r="G45" i="11"/>
  <c r="I30" i="9"/>
  <c r="I44" i="11" s="1"/>
  <c r="G44" i="11"/>
  <c r="I29" i="9"/>
  <c r="I43" i="11" s="1"/>
  <c r="G43" i="11"/>
  <c r="I28" i="9"/>
  <c r="I42" i="11" s="1"/>
  <c r="G42" i="11"/>
  <c r="I27" i="9"/>
  <c r="I41" i="11" s="1"/>
  <c r="G41" i="11"/>
  <c r="I26" i="9"/>
  <c r="I40" i="11" s="1"/>
  <c r="G40" i="11"/>
  <c r="I25" i="9"/>
  <c r="I39" i="11" s="1"/>
  <c r="G39" i="11"/>
  <c r="I24" i="9"/>
  <c r="I38" i="11" s="1"/>
  <c r="G38" i="11"/>
  <c r="I23" i="9"/>
  <c r="I37" i="11" s="1"/>
  <c r="G37" i="11"/>
  <c r="I22" i="9"/>
  <c r="I36" i="11" s="1"/>
  <c r="G36" i="11"/>
  <c r="I21" i="9"/>
  <c r="I35" i="11" s="1"/>
  <c r="G35" i="11"/>
  <c r="I20" i="9"/>
  <c r="I34" i="11" s="1"/>
  <c r="G34" i="11"/>
  <c r="I19" i="9"/>
  <c r="I33" i="11" s="1"/>
  <c r="G33" i="11"/>
  <c r="I18" i="9"/>
  <c r="I32" i="11" s="1"/>
  <c r="G32" i="11"/>
  <c r="I17" i="9"/>
  <c r="I31" i="11" s="1"/>
  <c r="G31" i="11"/>
  <c r="I16" i="9"/>
  <c r="I30" i="11" s="1"/>
  <c r="G30" i="11"/>
  <c r="I15" i="9"/>
  <c r="I29" i="11" s="1"/>
  <c r="G29" i="11"/>
  <c r="I14" i="9"/>
  <c r="I28" i="11" s="1"/>
  <c r="G28" i="11"/>
  <c r="I13" i="9"/>
  <c r="I27" i="11" s="1"/>
  <c r="G27" i="11"/>
  <c r="I12" i="9"/>
  <c r="I26" i="11" s="1"/>
  <c r="G26" i="11"/>
  <c r="I11" i="9"/>
  <c r="I25" i="11" s="1"/>
  <c r="G25" i="11"/>
  <c r="I10" i="9"/>
  <c r="I24" i="11" s="1"/>
  <c r="G24" i="11"/>
  <c r="I9" i="9"/>
  <c r="I23" i="11" s="1"/>
  <c r="G23" i="11"/>
  <c r="I8" i="9"/>
  <c r="I22" i="11" s="1"/>
  <c r="G22" i="11"/>
  <c r="I7" i="9"/>
  <c r="I21" i="11" s="1"/>
  <c r="G21" i="11"/>
  <c r="I6" i="9"/>
  <c r="I20" i="11" s="1"/>
  <c r="G20" i="11"/>
  <c r="I5" i="9"/>
  <c r="I19" i="11" s="1"/>
  <c r="G19" i="11"/>
  <c r="I4" i="9"/>
  <c r="I18" i="11" s="1"/>
  <c r="G54" i="9"/>
  <c r="G18" i="11"/>
  <c r="F54" i="9"/>
  <c r="F18" i="11"/>
  <c r="H53" i="9"/>
  <c r="H67" i="11" s="1"/>
  <c r="E67" i="11"/>
  <c r="H52" i="9"/>
  <c r="H66" i="11" s="1"/>
  <c r="E66" i="11"/>
  <c r="H51" i="9"/>
  <c r="H65" i="11" s="1"/>
  <c r="E65" i="11"/>
  <c r="H50" i="9"/>
  <c r="H64" i="11" s="1"/>
  <c r="E64" i="11"/>
  <c r="H49" i="9"/>
  <c r="H63" i="11" s="1"/>
  <c r="E63" i="11"/>
  <c r="H48" i="9"/>
  <c r="H62" i="11" s="1"/>
  <c r="E62" i="11"/>
  <c r="H47" i="9"/>
  <c r="H61" i="11" s="1"/>
  <c r="E61" i="11"/>
  <c r="H46" i="9"/>
  <c r="H60" i="11" s="1"/>
  <c r="E60" i="11"/>
  <c r="H45" i="9"/>
  <c r="H59" i="11" s="1"/>
  <c r="E59" i="11"/>
  <c r="H44" i="9"/>
  <c r="H58" i="11" s="1"/>
  <c r="E58" i="11"/>
  <c r="H43" i="9"/>
  <c r="H57" i="11" s="1"/>
  <c r="E57" i="11"/>
  <c r="H42" i="9"/>
  <c r="H56" i="11" s="1"/>
  <c r="E56" i="11"/>
  <c r="H41" i="9"/>
  <c r="H55" i="11" s="1"/>
  <c r="E55" i="11"/>
  <c r="H40" i="9"/>
  <c r="H54" i="11" s="1"/>
  <c r="E54" i="11"/>
  <c r="H39" i="9"/>
  <c r="H53" i="11" s="1"/>
  <c r="E53" i="11"/>
  <c r="H38" i="9"/>
  <c r="H52" i="11" s="1"/>
  <c r="E52" i="11"/>
  <c r="H37" i="9"/>
  <c r="H51" i="11" s="1"/>
  <c r="E51" i="11"/>
  <c r="H36" i="9"/>
  <c r="H50" i="11" s="1"/>
  <c r="E50" i="11"/>
  <c r="H35" i="9"/>
  <c r="H49" i="11" s="1"/>
  <c r="E49" i="11"/>
  <c r="H34" i="9"/>
  <c r="H48" i="11" s="1"/>
  <c r="E48" i="11"/>
  <c r="H33" i="9"/>
  <c r="H47" i="11" s="1"/>
  <c r="E47" i="11"/>
  <c r="H32" i="9"/>
  <c r="H46" i="11" s="1"/>
  <c r="E46" i="11"/>
  <c r="H31" i="9"/>
  <c r="H45" i="11" s="1"/>
  <c r="E45" i="11"/>
  <c r="H30" i="9"/>
  <c r="H44" i="11" s="1"/>
  <c r="E44" i="11"/>
  <c r="H29" i="9"/>
  <c r="H43" i="11" s="1"/>
  <c r="E43" i="11"/>
  <c r="H28" i="9"/>
  <c r="H42" i="11" s="1"/>
  <c r="E42" i="11"/>
  <c r="H27" i="9"/>
  <c r="H41" i="11" s="1"/>
  <c r="E41" i="11"/>
  <c r="H26" i="9"/>
  <c r="H40" i="11" s="1"/>
  <c r="E40" i="11"/>
  <c r="H25" i="9"/>
  <c r="H39" i="11" s="1"/>
  <c r="E39" i="11"/>
  <c r="H24" i="9"/>
  <c r="H38" i="11" s="1"/>
  <c r="E38" i="11"/>
  <c r="H23" i="9"/>
  <c r="H37" i="11" s="1"/>
  <c r="E37" i="11"/>
  <c r="H22" i="9"/>
  <c r="H36" i="11" s="1"/>
  <c r="E36" i="11"/>
  <c r="H21" i="9"/>
  <c r="H35" i="11" s="1"/>
  <c r="E35" i="11"/>
  <c r="H20" i="9"/>
  <c r="H34" i="11" s="1"/>
  <c r="E34" i="11"/>
  <c r="H19" i="9"/>
  <c r="H33" i="11" s="1"/>
  <c r="E33" i="11"/>
  <c r="H18" i="9"/>
  <c r="H32" i="11" s="1"/>
  <c r="E32" i="11"/>
  <c r="H17" i="9"/>
  <c r="H31" i="11" s="1"/>
  <c r="E31" i="11"/>
  <c r="H16" i="9"/>
  <c r="H30" i="11" s="1"/>
  <c r="E30" i="11"/>
  <c r="H15" i="9"/>
  <c r="H29" i="11" s="1"/>
  <c r="E29" i="11"/>
  <c r="H13" i="9"/>
  <c r="H27" i="11" s="1"/>
  <c r="E27" i="11"/>
  <c r="H12" i="9"/>
  <c r="H26" i="11" s="1"/>
  <c r="E26" i="11"/>
  <c r="H11" i="9"/>
  <c r="H25" i="11" s="1"/>
  <c r="E25" i="11"/>
  <c r="H10" i="9"/>
  <c r="H24" i="11" s="1"/>
  <c r="E24" i="11"/>
  <c r="H9" i="9"/>
  <c r="H23" i="11" s="1"/>
  <c r="E23" i="11"/>
  <c r="H8" i="9"/>
  <c r="H22" i="11" s="1"/>
  <c r="E22" i="11"/>
  <c r="H7" i="9"/>
  <c r="H21" i="11" s="1"/>
  <c r="E21" i="11"/>
  <c r="H6" i="9"/>
  <c r="H20" i="11" s="1"/>
  <c r="E20" i="11"/>
  <c r="H5" i="9"/>
  <c r="H19" i="11" s="1"/>
  <c r="E19" i="11"/>
  <c r="H4" i="9"/>
  <c r="E54" i="9"/>
  <c r="E18" i="11"/>
  <c r="F28" i="11"/>
  <c r="H14" i="9"/>
  <c r="H28" i="11" s="1"/>
  <c r="R4" i="5" l="1"/>
  <c r="Q64" i="5"/>
  <c r="H54" i="9"/>
  <c r="H1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<sst xmlns="http://schemas.openxmlformats.org/spreadsheetml/2006/main" count="1398" uniqueCount="1292">
  <si>
    <t>👥 MEMBRES</t>
  </si>
  <si>
    <t>💰 COTISATIONS</t>
  </si>
  <si>
    <t>🏦 PRÊTS</t>
  </si>
  <si>
    <t>⚠️ PÉNALITÉS</t>
  </si>
  <si>
    <t>🏧 CAISSE</t>
  </si>
  <si>
    <t>📋 SOLDE MEMBRES</t>
  </si>
  <si>
    <t>📜 CONTRATS</t>
  </si>
  <si>
    <t>📊 TABLEAU DE BORD</t>
  </si>
  <si>
    <t>⚙️  PARAMÈTRES SYSTÈME — TONTINE SOLIDARITÉ PLUS 2027</t>
  </si>
  <si>
    <t>PARAMÈTRE</t>
  </si>
  <si>
    <t>VALEUR</t>
  </si>
  <si>
    <t>UNITÉ</t>
  </si>
  <si>
    <t>DESCRIPTION</t>
  </si>
  <si>
    <t>MODIFIÉ PAR</t>
  </si>
  <si>
    <t>Taux d'intérêt mensuel standard</t>
  </si>
  <si>
    <t>%</t>
  </si>
  <si>
    <t>Taux appliqué aux prêts ≤ 2 mois</t>
  </si>
  <si>
    <t>Bureau</t>
  </si>
  <si>
    <t>Taux supplémentaire après 2 mois</t>
  </si>
  <si>
    <t>Intérêt additionnel si crédit impayé &gt; 2 mois</t>
  </si>
  <si>
    <t>Cotisation minimum</t>
  </si>
  <si>
    <t>FCFA</t>
  </si>
  <si>
    <t>Montant minimum d'engagement par semaine</t>
  </si>
  <si>
    <t>Cotisation hebdo standard</t>
  </si>
  <si>
    <t>Montant standard conseillé</t>
  </si>
  <si>
    <t>Pénalité retard cotisation (hors dim)</t>
  </si>
  <si>
    <t>Cotisation effectuée un autre jour que dimanche</t>
  </si>
  <si>
    <t>Pénalité absence réunion</t>
  </si>
  <si>
    <t>Par absence à la réunion mensuelle</t>
  </si>
  <si>
    <t>Frais de retrait prêt</t>
  </si>
  <si>
    <t>Frais prélevés sur le montant octroyé</t>
  </si>
  <si>
    <t>Durée max prêt (mois)</t>
  </si>
  <si>
    <t>mois</t>
  </si>
  <si>
    <t>Au-delà : intérêt supplémentaire s'applique</t>
  </si>
  <si>
    <t>Nombre max de membres</t>
  </si>
  <si>
    <t>membres</t>
  </si>
  <si>
    <t>Capacité maximale actuelle du système</t>
  </si>
  <si>
    <t>Année exercice</t>
  </si>
  <si>
    <t>année</t>
  </si>
  <si>
    <t>Exercice financier en cours</t>
  </si>
  <si>
    <t>📌 RÉFÉRENCES : Taux intérêt = B4 | Taux supp = B5 | Cot.min = B6 | Cot.standard = B7 | Pén.retard = B8 | Pén.absence = B9 | Frais retrait = B10 | Durée max = B11</t>
  </si>
  <si>
    <t>👥  REGISTRE DES MEMBRES — TONTINE SOLIDARITÉ PLUS 2027</t>
  </si>
  <si>
    <t>ID_MEMBRE</t>
  </si>
  <si>
    <t>NOM</t>
  </si>
  <si>
    <t>PRÉNOMS</t>
  </si>
  <si>
    <t>TÉLÉPHONE</t>
  </si>
  <si>
    <t>EMAIL</t>
  </si>
  <si>
    <t>SEXE</t>
  </si>
  <si>
    <t>N° CIP</t>
  </si>
  <si>
    <t>DATE NAISSANCE</t>
  </si>
  <si>
    <t>DATE ADHÉSION</t>
  </si>
  <si>
    <t>STATUT</t>
  </si>
  <si>
    <t>COT.ENGAGÉE/SEM
(FCFA)</t>
  </si>
  <si>
    <t>ADRESSE</t>
  </si>
  <si>
    <t>PROFESSION</t>
  </si>
  <si>
    <t>PARRAIN/RÉFÉRENT</t>
  </si>
  <si>
    <t>OBSERVATIONS</t>
  </si>
  <si>
    <t>TSP-2027-001</t>
  </si>
  <si>
    <t>Actif</t>
  </si>
  <si>
    <t>TSP-2027-002</t>
  </si>
  <si>
    <t>TSP-2027-003</t>
  </si>
  <si>
    <t>TSP-2027-004</t>
  </si>
  <si>
    <t>TSP-2027-005</t>
  </si>
  <si>
    <t>TSP-2027-006</t>
  </si>
  <si>
    <t>TSP-2027-007</t>
  </si>
  <si>
    <t>TSP-2027-008</t>
  </si>
  <si>
    <t>TSP-2027-009</t>
  </si>
  <si>
    <t>TSP-2027-010</t>
  </si>
  <si>
    <t>TSP-2027-011</t>
  </si>
  <si>
    <t>TSP-2027-012</t>
  </si>
  <si>
    <t>TSP-2027-013</t>
  </si>
  <si>
    <t>TSP-2027-014</t>
  </si>
  <si>
    <t>TSP-2027-015</t>
  </si>
  <si>
    <t>TSP-2027-016</t>
  </si>
  <si>
    <t>TSP-2027-017</t>
  </si>
  <si>
    <t>TSP-2027-018</t>
  </si>
  <si>
    <t>TSP-2027-019</t>
  </si>
  <si>
    <t>TSP-2027-020</t>
  </si>
  <si>
    <t>TSP-2027-021</t>
  </si>
  <si>
    <t>TSP-2027-022</t>
  </si>
  <si>
    <t>TSP-2027-023</t>
  </si>
  <si>
    <t>TSP-2027-024</t>
  </si>
  <si>
    <t>TSP-2027-025</t>
  </si>
  <si>
    <t>TSP-2027-026</t>
  </si>
  <si>
    <t>TSP-2027-027</t>
  </si>
  <si>
    <t>TSP-2027-028</t>
  </si>
  <si>
    <t>TSP-2027-029</t>
  </si>
  <si>
    <t>TSP-2027-030</t>
  </si>
  <si>
    <t>TSP-2027-031</t>
  </si>
  <si>
    <t>TSP-2027-032</t>
  </si>
  <si>
    <t>TSP-2027-033</t>
  </si>
  <si>
    <t>TSP-2027-034</t>
  </si>
  <si>
    <t>TSP-2027-035</t>
  </si>
  <si>
    <t>TSP-2027-036</t>
  </si>
  <si>
    <t>TSP-2027-037</t>
  </si>
  <si>
    <t>TSP-2027-038</t>
  </si>
  <si>
    <t>TSP-2027-039</t>
  </si>
  <si>
    <t>TSP-2027-040</t>
  </si>
  <si>
    <t>TSP-2027-041</t>
  </si>
  <si>
    <t>TSP-2027-042</t>
  </si>
  <si>
    <t>TSP-2027-043</t>
  </si>
  <si>
    <t>TSP-2027-044</t>
  </si>
  <si>
    <t>TSP-2027-045</t>
  </si>
  <si>
    <t>TSP-2027-046</t>
  </si>
  <si>
    <t>TSP-2027-047</t>
  </si>
  <si>
    <t>TSP-2027-048</t>
  </si>
  <si>
    <t>TSP-2027-049</t>
  </si>
  <si>
    <t>TSP-2027-050</t>
  </si>
  <si>
    <t>💰  REGISTRE DES COTISATIONS HEBDOMADAIRES — TONTINE SOLIDARITÉ PLUS 2027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</si>
  <si>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</si>
  <si>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</si>
  <si>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</si>
  <si>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</si>
  <si>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</si>
  <si>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</si>
  <si>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</si>
  <si>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</si>
  <si>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</si>
  <si>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</si>
  <si>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</si>
  <si>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</si>
  <si>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CIBLE
/SEM.</t>
  </si>
  <si>
    <t>TOTAL
VERSÉ</t>
  </si>
  <si>
    <t>TOTAL
ENGAGÉ</t>
  </si>
  <si>
    <t>ÉCART
(FCFA)</t>
  </si>
  <si>
    <t>PÉN.
DIMANCHE</t>
  </si>
  <si>
    <t>🏦 TOTAL GÉNÉRAL</t>
  </si>
  <si>
    <t>🏦  REGISTRE DES PRÊTS — TONTINE SOLIDARITÉ PLUS 2027</t>
  </si>
  <si>
    <t>⚙️  Taux 1er mois = B4 (PARAMÈTRES) | Taux supp. après 2 mois = B5 (PARAMÈTRES) | Frais retrait = B10 (PARAMÈTRES)</t>
  </si>
  <si>
    <t>ID_PRÊT</t>
  </si>
  <si>
    <t>DATE PRÊT</t>
  </si>
  <si>
    <t>MONTANT
EMPRUNTÉ</t>
  </si>
  <si>
    <t>FRAIS
RETRAIT</t>
  </si>
  <si>
    <t>TÉMOIN
(si &gt; épargne)</t>
  </si>
  <si>
    <t>TÉL TÉMOIN</t>
  </si>
  <si>
    <t>ADRESSE
TÉMOIN</t>
  </si>
  <si>
    <t>DATE
ÉCHÉANCE</t>
  </si>
  <si>
    <t>INTÉRÊTS
(1 mois)</t>
  </si>
  <si>
    <t>INTÉRÊTS
(2 mois)</t>
  </si>
  <si>
    <t>INTÉRÊTS
SUPP.</t>
  </si>
  <si>
    <t>TOTAL
DÛ</t>
  </si>
  <si>
    <t>REMBOURSÉ</t>
  </si>
  <si>
    <t>SOLDE
RESTANT</t>
  </si>
  <si>
    <t>PRE-2027-001</t>
  </si>
  <si>
    <t>PRE-2027-002</t>
  </si>
  <si>
    <t>PRE-2027-003</t>
  </si>
  <si>
    <t>PRE-2027-004</t>
  </si>
  <si>
    <t>PRE-2027-005</t>
  </si>
  <si>
    <t>PRE-2027-006</t>
  </si>
  <si>
    <t>PRE-2027-007</t>
  </si>
  <si>
    <t>PRE-2027-008</t>
  </si>
  <si>
    <t>PRE-2027-009</t>
  </si>
  <si>
    <t>PRE-2027-010</t>
  </si>
  <si>
    <t>PRE-2027-011</t>
  </si>
  <si>
    <t>PRE-2027-012</t>
  </si>
  <si>
    <t>PRE-2027-013</t>
  </si>
  <si>
    <t>PRE-2027-014</t>
  </si>
  <si>
    <t>PRE-2027-015</t>
  </si>
  <si>
    <t>PRE-2027-016</t>
  </si>
  <si>
    <t>PRE-2027-017</t>
  </si>
  <si>
    <t>PRE-2027-018</t>
  </si>
  <si>
    <t>PRE-2027-019</t>
  </si>
  <si>
    <t>PRE-2027-020</t>
  </si>
  <si>
    <t>PRE-2027-021</t>
  </si>
  <si>
    <t>PRE-2027-022</t>
  </si>
  <si>
    <t>PRE-2027-023</t>
  </si>
  <si>
    <t>PRE-2027-024</t>
  </si>
  <si>
    <t>PRE-2027-025</t>
  </si>
  <si>
    <t>PRE-2027-026</t>
  </si>
  <si>
    <t>PRE-2027-027</t>
  </si>
  <si>
    <t>PRE-2027-028</t>
  </si>
  <si>
    <t>PRE-2027-029</t>
  </si>
  <si>
    <t>PRE-2027-030</t>
  </si>
  <si>
    <t>PRE-2027-031</t>
  </si>
  <si>
    <t>PRE-2027-032</t>
  </si>
  <si>
    <t>PRE-2027-033</t>
  </si>
  <si>
    <t>PRE-2027-034</t>
  </si>
  <si>
    <t>PRE-2027-035</t>
  </si>
  <si>
    <t>PRE-2027-036</t>
  </si>
  <si>
    <t>PRE-2027-037</t>
  </si>
  <si>
    <t>PRE-2027-038</t>
  </si>
  <si>
    <t>PRE-2027-039</t>
  </si>
  <si>
    <t>PRE-2027-040</t>
  </si>
  <si>
    <t>PRE-2027-041</t>
  </si>
  <si>
    <t>PRE-2027-042</t>
  </si>
  <si>
    <t>PRE-2027-043</t>
  </si>
  <si>
    <t>PRE-2027-044</t>
  </si>
  <si>
    <t>PRE-2027-045</t>
  </si>
  <si>
    <t>PRE-2027-046</t>
  </si>
  <si>
    <t>PRE-2027-047</t>
  </si>
  <si>
    <t>PRE-2027-048</t>
  </si>
  <si>
    <t>PRE-2027-049</t>
  </si>
  <si>
    <t>PRE-2027-050</t>
  </si>
  <si>
    <t>PRE-2027-051</t>
  </si>
  <si>
    <t>PRE-2027-052</t>
  </si>
  <si>
    <t>PRE-2027-053</t>
  </si>
  <si>
    <t>PRE-2027-054</t>
  </si>
  <si>
    <t>PRE-2027-055</t>
  </si>
  <si>
    <t>PRE-2027-056</t>
  </si>
  <si>
    <t>PRE-2027-057</t>
  </si>
  <si>
    <t>PRE-2027-058</t>
  </si>
  <si>
    <t>PRE-2027-059</t>
  </si>
  <si>
    <t>PRE-2027-060</t>
  </si>
  <si>
    <t>🏦 TOTAUX</t>
  </si>
  <si>
    <t>🔄  SUIVI DES REMBOURSEMENTS — TONTINE SOLIDARITÉ PLUS 2027</t>
  </si>
  <si>
    <t>ID_REM</t>
  </si>
  <si>
    <t>DATE
REMB.</t>
  </si>
  <si>
    <t>MONTANT
REMB.</t>
  </si>
  <si>
    <t>CAPITAL</t>
  </si>
  <si>
    <t>INTÉRÊTS</t>
  </si>
  <si>
    <t>SAISI PAR</t>
  </si>
  <si>
    <t>REM-2027-001</t>
  </si>
  <si>
    <t>REM-2027-002</t>
  </si>
  <si>
    <t>REM-2027-003</t>
  </si>
  <si>
    <t>REM-2027-004</t>
  </si>
  <si>
    <t>REM-2027-005</t>
  </si>
  <si>
    <t>REM-2027-006</t>
  </si>
  <si>
    <t>REM-2027-007</t>
  </si>
  <si>
    <t>REM-2027-008</t>
  </si>
  <si>
    <t>REM-2027-009</t>
  </si>
  <si>
    <t>REM-2027-010</t>
  </si>
  <si>
    <t>REM-2027-011</t>
  </si>
  <si>
    <t>REM-2027-012</t>
  </si>
  <si>
    <t>REM-2027-013</t>
  </si>
  <si>
    <t>REM-2027-014</t>
  </si>
  <si>
    <t>REM-2027-015</t>
  </si>
  <si>
    <t>REM-2027-016</t>
  </si>
  <si>
    <t>REM-2027-017</t>
  </si>
  <si>
    <t>REM-2027-018</t>
  </si>
  <si>
    <t>REM-2027-019</t>
  </si>
  <si>
    <t>REM-2027-020</t>
  </si>
  <si>
    <t>REM-2027-021</t>
  </si>
  <si>
    <t>REM-2027-022</t>
  </si>
  <si>
    <t>REM-2027-023</t>
  </si>
  <si>
    <t>REM-2027-024</t>
  </si>
  <si>
    <t>REM-2027-025</t>
  </si>
  <si>
    <t>REM-2027-026</t>
  </si>
  <si>
    <t>REM-2027-027</t>
  </si>
  <si>
    <t>REM-2027-028</t>
  </si>
  <si>
    <t>REM-2027-029</t>
  </si>
  <si>
    <t>REM-2027-030</t>
  </si>
  <si>
    <t>REM-2027-031</t>
  </si>
  <si>
    <t>REM-2027-032</t>
  </si>
  <si>
    <t>REM-2027-033</t>
  </si>
  <si>
    <t>REM-2027-034</t>
  </si>
  <si>
    <t>REM-2027-035</t>
  </si>
  <si>
    <t>REM-2027-036</t>
  </si>
  <si>
    <t>REM-2027-037</t>
  </si>
  <si>
    <t>REM-2027-038</t>
  </si>
  <si>
    <t>REM-2027-039</t>
  </si>
  <si>
    <t>REM-2027-040</t>
  </si>
  <si>
    <t>REM-2027-041</t>
  </si>
  <si>
    <t>REM-2027-042</t>
  </si>
  <si>
    <t>REM-2027-043</t>
  </si>
  <si>
    <t>REM-2027-044</t>
  </si>
  <si>
    <t>REM-2027-045</t>
  </si>
  <si>
    <t>REM-2027-046</t>
  </si>
  <si>
    <t>REM-2027-047</t>
  </si>
  <si>
    <t>REM-2027-048</t>
  </si>
  <si>
    <t>REM-2027-049</t>
  </si>
  <si>
    <t>REM-2027-050</t>
  </si>
  <si>
    <t>REM-2027-051</t>
  </si>
  <si>
    <t>REM-2027-052</t>
  </si>
  <si>
    <t>REM-2027-053</t>
  </si>
  <si>
    <t>REM-2027-054</t>
  </si>
  <si>
    <t>REM-2027-055</t>
  </si>
  <si>
    <t>REM-2027-056</t>
  </si>
  <si>
    <t>REM-2027-057</t>
  </si>
  <si>
    <t>REM-2027-058</t>
  </si>
  <si>
    <t>REM-2027-059</t>
  </si>
  <si>
    <t>REM-2027-060</t>
  </si>
  <si>
    <t>REM-2027-061</t>
  </si>
  <si>
    <t>REM-2027-062</t>
  </si>
  <si>
    <t>REM-2027-063</t>
  </si>
  <si>
    <t>REM-2027-064</t>
  </si>
  <si>
    <t>REM-2027-065</t>
  </si>
  <si>
    <t>REM-2027-066</t>
  </si>
  <si>
    <t>REM-2027-067</t>
  </si>
  <si>
    <t>REM-2027-068</t>
  </si>
  <si>
    <t>REM-2027-069</t>
  </si>
  <si>
    <t>REM-2027-070</t>
  </si>
  <si>
    <t>REM-2027-071</t>
  </si>
  <si>
    <t>REM-2027-072</t>
  </si>
  <si>
    <t>REM-2027-073</t>
  </si>
  <si>
    <t>REM-2027-074</t>
  </si>
  <si>
    <t>REM-2027-075</t>
  </si>
  <si>
    <t>REM-2027-076</t>
  </si>
  <si>
    <t>REM-2027-077</t>
  </si>
  <si>
    <t>REM-2027-078</t>
  </si>
  <si>
    <t>REM-2027-079</t>
  </si>
  <si>
    <t>REM-2027-080</t>
  </si>
  <si>
    <t>REM-2027-081</t>
  </si>
  <si>
    <t>REM-2027-082</t>
  </si>
  <si>
    <t>REM-2027-083</t>
  </si>
  <si>
    <t>REM-2027-084</t>
  </si>
  <si>
    <t>REM-2027-085</t>
  </si>
  <si>
    <t>REM-2027-086</t>
  </si>
  <si>
    <t>REM-2027-087</t>
  </si>
  <si>
    <t>REM-2027-088</t>
  </si>
  <si>
    <t>REM-2027-089</t>
  </si>
  <si>
    <t>REM-2027-090</t>
  </si>
  <si>
    <t>REM-2027-091</t>
  </si>
  <si>
    <t>REM-2027-092</t>
  </si>
  <si>
    <t>REM-2027-093</t>
  </si>
  <si>
    <t>REM-2027-094</t>
  </si>
  <si>
    <t>REM-2027-095</t>
  </si>
  <si>
    <t>REM-2027-096</t>
  </si>
  <si>
    <t>REM-2027-097</t>
  </si>
  <si>
    <t>REM-2027-098</t>
  </si>
  <si>
    <t>REM-2027-099</t>
  </si>
  <si>
    <t>REM-2027-100</t>
  </si>
  <si>
    <t>REM-2027-101</t>
  </si>
  <si>
    <t>REM-2027-102</t>
  </si>
  <si>
    <t>REM-2027-103</t>
  </si>
  <si>
    <t>REM-2027-104</t>
  </si>
  <si>
    <t>REM-2027-105</t>
  </si>
  <si>
    <t>REM-2027-106</t>
  </si>
  <si>
    <t>REM-2027-107</t>
  </si>
  <si>
    <t>REM-2027-108</t>
  </si>
  <si>
    <t>REM-2027-109</t>
  </si>
  <si>
    <t>REM-2027-110</t>
  </si>
  <si>
    <t>REM-2027-111</t>
  </si>
  <si>
    <t>REM-2027-112</t>
  </si>
  <si>
    <t>REM-2027-113</t>
  </si>
  <si>
    <t>REM-2027-114</t>
  </si>
  <si>
    <t>REM-2027-115</t>
  </si>
  <si>
    <t>REM-2027-116</t>
  </si>
  <si>
    <t>REM-2027-117</t>
  </si>
  <si>
    <t>REM-2027-118</t>
  </si>
  <si>
    <t>REM-2027-119</t>
  </si>
  <si>
    <t>REM-2027-120</t>
  </si>
  <si>
    <t>REM-2027-121</t>
  </si>
  <si>
    <t>REM-2027-122</t>
  </si>
  <si>
    <t>REM-2027-123</t>
  </si>
  <si>
    <t>REM-2027-124</t>
  </si>
  <si>
    <t>REM-2027-125</t>
  </si>
  <si>
    <t>REM-2027-126</t>
  </si>
  <si>
    <t>REM-2027-127</t>
  </si>
  <si>
    <t>REM-2027-128</t>
  </si>
  <si>
    <t>REM-2027-129</t>
  </si>
  <si>
    <t>REM-2027-130</t>
  </si>
  <si>
    <t>REM-2027-131</t>
  </si>
  <si>
    <t>REM-2027-132</t>
  </si>
  <si>
    <t>REM-2027-133</t>
  </si>
  <si>
    <t>REM-2027-134</t>
  </si>
  <si>
    <t>REM-2027-135</t>
  </si>
  <si>
    <t>REM-2027-136</t>
  </si>
  <si>
    <t>REM-2027-137</t>
  </si>
  <si>
    <t>REM-2027-138</t>
  </si>
  <si>
    <t>REM-2027-139</t>
  </si>
  <si>
    <t>REM-2027-140</t>
  </si>
  <si>
    <t>REM-2027-141</t>
  </si>
  <si>
    <t>REM-2027-142</t>
  </si>
  <si>
    <t>REM-2027-143</t>
  </si>
  <si>
    <t>REM-2027-144</t>
  </si>
  <si>
    <t>REM-2027-145</t>
  </si>
  <si>
    <t>REM-2027-146</t>
  </si>
  <si>
    <t>REM-2027-147</t>
  </si>
  <si>
    <t>REM-2027-148</t>
  </si>
  <si>
    <t>REM-2027-149</t>
  </si>
  <si>
    <t>REM-2027-150</t>
  </si>
  <si>
    <t>REM-2027-151</t>
  </si>
  <si>
    <t>REM-2027-152</t>
  </si>
  <si>
    <t>REM-2027-153</t>
  </si>
  <si>
    <t>REM-2027-154</t>
  </si>
  <si>
    <t>REM-2027-155</t>
  </si>
  <si>
    <t>REM-2027-156</t>
  </si>
  <si>
    <t>REM-2027-157</t>
  </si>
  <si>
    <t>REM-2027-158</t>
  </si>
  <si>
    <t>REM-2027-159</t>
  </si>
  <si>
    <t>REM-2027-160</t>
  </si>
  <si>
    <t>REM-2027-161</t>
  </si>
  <si>
    <t>REM-2027-162</t>
  </si>
  <si>
    <t>REM-2027-163</t>
  </si>
  <si>
    <t>REM-2027-164</t>
  </si>
  <si>
    <t>REM-2027-165</t>
  </si>
  <si>
    <t>REM-2027-166</t>
  </si>
  <si>
    <t>REM-2027-167</t>
  </si>
  <si>
    <t>REM-2027-168</t>
  </si>
  <si>
    <t>REM-2027-169</t>
  </si>
  <si>
    <t>REM-2027-170</t>
  </si>
  <si>
    <t>REM-2027-171</t>
  </si>
  <si>
    <t>REM-2027-172</t>
  </si>
  <si>
    <t>REM-2027-173</t>
  </si>
  <si>
    <t>REM-2027-174</t>
  </si>
  <si>
    <t>REM-2027-175</t>
  </si>
  <si>
    <t>REM-2027-176</t>
  </si>
  <si>
    <t>REM-2027-177</t>
  </si>
  <si>
    <t>REM-2027-178</t>
  </si>
  <si>
    <t>REM-2027-179</t>
  </si>
  <si>
    <t>REM-2027-180</t>
  </si>
  <si>
    <t>REM-2027-181</t>
  </si>
  <si>
    <t>REM-2027-182</t>
  </si>
  <si>
    <t>REM-2027-183</t>
  </si>
  <si>
    <t>REM-2027-184</t>
  </si>
  <si>
    <t>REM-2027-185</t>
  </si>
  <si>
    <t>REM-2027-186</t>
  </si>
  <si>
    <t>REM-2027-187</t>
  </si>
  <si>
    <t>REM-2027-188</t>
  </si>
  <si>
    <t>REM-2027-189</t>
  </si>
  <si>
    <t>REM-2027-190</t>
  </si>
  <si>
    <t>REM-2027-191</t>
  </si>
  <si>
    <t>REM-2027-192</t>
  </si>
  <si>
    <t>REM-2027-193</t>
  </si>
  <si>
    <t>REM-2027-194</t>
  </si>
  <si>
    <t>REM-2027-195</t>
  </si>
  <si>
    <t>REM-2027-196</t>
  </si>
  <si>
    <t>REM-2027-197</t>
  </si>
  <si>
    <t>REM-2027-198</t>
  </si>
  <si>
    <t>REM-2027-199</t>
  </si>
  <si>
    <t>REM-2027-200</t>
  </si>
  <si>
    <t>⚠️  REGISTRE DES PÉNALITÉS — TONTINE SOLIDARITÉ PLUS 2027</t>
  </si>
  <si>
    <t>Pénalité retard cotisation (hors dimanche) : 100 FCFA | Absence réunion : 1 000 FCFA — Taux liés aux PARAMÈTRES</t>
  </si>
  <si>
    <t>ID_PEN</t>
  </si>
  <si>
    <t>DATE</t>
  </si>
  <si>
    <t>MOTIF</t>
  </si>
  <si>
    <t>MONTANT
(FCFA)</t>
  </si>
  <si>
    <t>PAYÉ ?</t>
  </si>
  <si>
    <t>SOLDE
PEN.</t>
  </si>
  <si>
    <t>PEN-2027-001</t>
  </si>
  <si>
    <t>PEN-2027-002</t>
  </si>
  <si>
    <t>PEN-2027-003</t>
  </si>
  <si>
    <t>PEN-2027-004</t>
  </si>
  <si>
    <t>PEN-2027-005</t>
  </si>
  <si>
    <t>PEN-2027-006</t>
  </si>
  <si>
    <t>PEN-2027-007</t>
  </si>
  <si>
    <t>PEN-2027-008</t>
  </si>
  <si>
    <t>PEN-2027-009</t>
  </si>
  <si>
    <t>PEN-2027-010</t>
  </si>
  <si>
    <t>PEN-2027-011</t>
  </si>
  <si>
    <t>PEN-2027-012</t>
  </si>
  <si>
    <t>PEN-2027-013</t>
  </si>
  <si>
    <t>PEN-2027-014</t>
  </si>
  <si>
    <t>PEN-2027-015</t>
  </si>
  <si>
    <t>PEN-2027-016</t>
  </si>
  <si>
    <t>PEN-2027-017</t>
  </si>
  <si>
    <t>PEN-2027-018</t>
  </si>
  <si>
    <t>PEN-2027-019</t>
  </si>
  <si>
    <t>PEN-2027-020</t>
  </si>
  <si>
    <t>PEN-2027-021</t>
  </si>
  <si>
    <t>PEN-2027-022</t>
  </si>
  <si>
    <t>PEN-2027-023</t>
  </si>
  <si>
    <t>PEN-2027-024</t>
  </si>
  <si>
    <t>PEN-2027-025</t>
  </si>
  <si>
    <t>PEN-2027-026</t>
  </si>
  <si>
    <t>PEN-2027-027</t>
  </si>
  <si>
    <t>PEN-2027-028</t>
  </si>
  <si>
    <t>PEN-2027-029</t>
  </si>
  <si>
    <t>PEN-2027-030</t>
  </si>
  <si>
    <t>PEN-2027-031</t>
  </si>
  <si>
    <t>PEN-2027-032</t>
  </si>
  <si>
    <t>PEN-2027-033</t>
  </si>
  <si>
    <t>PEN-2027-034</t>
  </si>
  <si>
    <t>PEN-2027-035</t>
  </si>
  <si>
    <t>PEN-2027-036</t>
  </si>
  <si>
    <t>PEN-2027-037</t>
  </si>
  <si>
    <t>PEN-2027-038</t>
  </si>
  <si>
    <t>PEN-2027-039</t>
  </si>
  <si>
    <t>PEN-2027-040</t>
  </si>
  <si>
    <t>PEN-2027-041</t>
  </si>
  <si>
    <t>PEN-2027-042</t>
  </si>
  <si>
    <t>PEN-2027-043</t>
  </si>
  <si>
    <t>PEN-2027-044</t>
  </si>
  <si>
    <t>PEN-2027-045</t>
  </si>
  <si>
    <t>PEN-2027-046</t>
  </si>
  <si>
    <t>PEN-2027-047</t>
  </si>
  <si>
    <t>PEN-2027-048</t>
  </si>
  <si>
    <t>PEN-2027-049</t>
  </si>
  <si>
    <t>PEN-2027-050</t>
  </si>
  <si>
    <t>PEN-2027-051</t>
  </si>
  <si>
    <t>PEN-2027-052</t>
  </si>
  <si>
    <t>PEN-2027-053</t>
  </si>
  <si>
    <t>PEN-2027-054</t>
  </si>
  <si>
    <t>PEN-2027-055</t>
  </si>
  <si>
    <t>PEN-2027-056</t>
  </si>
  <si>
    <t>PEN-2027-057</t>
  </si>
  <si>
    <t>PEN-2027-058</t>
  </si>
  <si>
    <t>PEN-2027-059</t>
  </si>
  <si>
    <t>PEN-2027-060</t>
  </si>
  <si>
    <t>PEN-2027-061</t>
  </si>
  <si>
    <t>PEN-2027-062</t>
  </si>
  <si>
    <t>PEN-2027-063</t>
  </si>
  <si>
    <t>PEN-2027-064</t>
  </si>
  <si>
    <t>PEN-2027-065</t>
  </si>
  <si>
    <t>PEN-2027-066</t>
  </si>
  <si>
    <t>PEN-2027-067</t>
  </si>
  <si>
    <t>PEN-2027-068</t>
  </si>
  <si>
    <t>PEN-2027-069</t>
  </si>
  <si>
    <t>PEN-2027-070</t>
  </si>
  <si>
    <t>PEN-2027-071</t>
  </si>
  <si>
    <t>PEN-2027-072</t>
  </si>
  <si>
    <t>PEN-2027-073</t>
  </si>
  <si>
    <t>PEN-2027-074</t>
  </si>
  <si>
    <t>PEN-2027-075</t>
  </si>
  <si>
    <t>PEN-2027-076</t>
  </si>
  <si>
    <t>PEN-2027-077</t>
  </si>
  <si>
    <t>PEN-2027-078</t>
  </si>
  <si>
    <t>PEN-2027-079</t>
  </si>
  <si>
    <t>PEN-2027-080</t>
  </si>
  <si>
    <t>PEN-2027-081</t>
  </si>
  <si>
    <t>PEN-2027-082</t>
  </si>
  <si>
    <t>PEN-2027-083</t>
  </si>
  <si>
    <t>PEN-2027-084</t>
  </si>
  <si>
    <t>PEN-2027-085</t>
  </si>
  <si>
    <t>PEN-2027-086</t>
  </si>
  <si>
    <t>PEN-2027-087</t>
  </si>
  <si>
    <t>PEN-2027-088</t>
  </si>
  <si>
    <t>PEN-2027-089</t>
  </si>
  <si>
    <t>PEN-2027-090</t>
  </si>
  <si>
    <t>PEN-2027-091</t>
  </si>
  <si>
    <t>PEN-2027-092</t>
  </si>
  <si>
    <t>PEN-2027-093</t>
  </si>
  <si>
    <t>PEN-2027-094</t>
  </si>
  <si>
    <t>PEN-2027-095</t>
  </si>
  <si>
    <t>PEN-2027-096</t>
  </si>
  <si>
    <t>PEN-2027-097</t>
  </si>
  <si>
    <t>PEN-2027-098</t>
  </si>
  <si>
    <t>PEN-2027-099</t>
  </si>
  <si>
    <t>PEN-2027-100</t>
  </si>
  <si>
    <t>PEN-2027-101</t>
  </si>
  <si>
    <t>PEN-2027-102</t>
  </si>
  <si>
    <t>PEN-2027-103</t>
  </si>
  <si>
    <t>PEN-2027-104</t>
  </si>
  <si>
    <t>PEN-2027-105</t>
  </si>
  <si>
    <t>PEN-2027-106</t>
  </si>
  <si>
    <t>PEN-2027-107</t>
  </si>
  <si>
    <t>PEN-2027-108</t>
  </si>
  <si>
    <t>PEN-2027-109</t>
  </si>
  <si>
    <t>PEN-2027-110</t>
  </si>
  <si>
    <t>PEN-2027-111</t>
  </si>
  <si>
    <t>PEN-2027-112</t>
  </si>
  <si>
    <t>PEN-2027-113</t>
  </si>
  <si>
    <t>PEN-2027-114</t>
  </si>
  <si>
    <t>PEN-2027-115</t>
  </si>
  <si>
    <t>PEN-2027-116</t>
  </si>
  <si>
    <t>PEN-2027-117</t>
  </si>
  <si>
    <t>PEN-2027-118</t>
  </si>
  <si>
    <t>PEN-2027-119</t>
  </si>
  <si>
    <t>PEN-2027-120</t>
  </si>
  <si>
    <t>PEN-2027-121</t>
  </si>
  <si>
    <t>PEN-2027-122</t>
  </si>
  <si>
    <t>PEN-2027-123</t>
  </si>
  <si>
    <t>PEN-2027-124</t>
  </si>
  <si>
    <t>PEN-2027-125</t>
  </si>
  <si>
    <t>PEN-2027-126</t>
  </si>
  <si>
    <t>PEN-2027-127</t>
  </si>
  <si>
    <t>PEN-2027-128</t>
  </si>
  <si>
    <t>PEN-2027-129</t>
  </si>
  <si>
    <t>PEN-2027-130</t>
  </si>
  <si>
    <t>PEN-2027-131</t>
  </si>
  <si>
    <t>PEN-2027-132</t>
  </si>
  <si>
    <t>PEN-2027-133</t>
  </si>
  <si>
    <t>PEN-2027-134</t>
  </si>
  <si>
    <t>PEN-2027-135</t>
  </si>
  <si>
    <t>PEN-2027-136</t>
  </si>
  <si>
    <t>PEN-2027-137</t>
  </si>
  <si>
    <t>PEN-2027-138</t>
  </si>
  <si>
    <t>PEN-2027-139</t>
  </si>
  <si>
    <t>PEN-2027-140</t>
  </si>
  <si>
    <t>PEN-2027-141</t>
  </si>
  <si>
    <t>PEN-2027-142</t>
  </si>
  <si>
    <t>PEN-2027-143</t>
  </si>
  <si>
    <t>PEN-2027-144</t>
  </si>
  <si>
    <t>PEN-2027-145</t>
  </si>
  <si>
    <t>PEN-2027-146</t>
  </si>
  <si>
    <t>PEN-2027-147</t>
  </si>
  <si>
    <t>PEN-2027-148</t>
  </si>
  <si>
    <t>PEN-2027-149</t>
  </si>
  <si>
    <t>PEN-2027-150</t>
  </si>
  <si>
    <t>PEN-2027-151</t>
  </si>
  <si>
    <t>PEN-2027-152</t>
  </si>
  <si>
    <t>PEN-2027-153</t>
  </si>
  <si>
    <t>PEN-2027-154</t>
  </si>
  <si>
    <t>PEN-2027-155</t>
  </si>
  <si>
    <t>PEN-2027-156</t>
  </si>
  <si>
    <t>PEN-2027-157</t>
  </si>
  <si>
    <t>PEN-2027-158</t>
  </si>
  <si>
    <t>PEN-2027-159</t>
  </si>
  <si>
    <t>PEN-2027-160</t>
  </si>
  <si>
    <t>PEN-2027-161</t>
  </si>
  <si>
    <t>PEN-2027-162</t>
  </si>
  <si>
    <t>PEN-2027-163</t>
  </si>
  <si>
    <t>PEN-2027-164</t>
  </si>
  <si>
    <t>PEN-2027-165</t>
  </si>
  <si>
    <t>PEN-2027-166</t>
  </si>
  <si>
    <t>PEN-2027-167</t>
  </si>
  <si>
    <t>PEN-2027-168</t>
  </si>
  <si>
    <t>PEN-2027-169</t>
  </si>
  <si>
    <t>PEN-2027-170</t>
  </si>
  <si>
    <t>PEN-2027-171</t>
  </si>
  <si>
    <t>PEN-2027-172</t>
  </si>
  <si>
    <t>PEN-2027-173</t>
  </si>
  <si>
    <t>PEN-2027-174</t>
  </si>
  <si>
    <t>PEN-2027-175</t>
  </si>
  <si>
    <t>PEN-2027-176</t>
  </si>
  <si>
    <t>PEN-2027-177</t>
  </si>
  <si>
    <t>PEN-2027-178</t>
  </si>
  <si>
    <t>PEN-2027-179</t>
  </si>
  <si>
    <t>PEN-2027-180</t>
  </si>
  <si>
    <t>PEN-2027-181</t>
  </si>
  <si>
    <t>PEN-2027-182</t>
  </si>
  <si>
    <t>PEN-2027-183</t>
  </si>
  <si>
    <t>PEN-2027-184</t>
  </si>
  <si>
    <t>PEN-2027-185</t>
  </si>
  <si>
    <t>PEN-2027-186</t>
  </si>
  <si>
    <t>PEN-2027-187</t>
  </si>
  <si>
    <t>PEN-2027-188</t>
  </si>
  <si>
    <t>PEN-2027-189</t>
  </si>
  <si>
    <t>PEN-2027-190</t>
  </si>
  <si>
    <t>PEN-2027-191</t>
  </si>
  <si>
    <t>PEN-2027-192</t>
  </si>
  <si>
    <t>PEN-2027-193</t>
  </si>
  <si>
    <t>PEN-2027-194</t>
  </si>
  <si>
    <t>PEN-2027-195</t>
  </si>
  <si>
    <t>PEN-2027-196</t>
  </si>
  <si>
    <t>PEN-2027-197</t>
  </si>
  <si>
    <t>PEN-2027-198</t>
  </si>
  <si>
    <t>PEN-2027-199</t>
  </si>
  <si>
    <t>PEN-2027-200</t>
  </si>
  <si>
    <t>PEN-2027-201</t>
  </si>
  <si>
    <t>PEN-2027-202</t>
  </si>
  <si>
    <t>PEN-2027-203</t>
  </si>
  <si>
    <t>PEN-2027-204</t>
  </si>
  <si>
    <t>PEN-2027-205</t>
  </si>
  <si>
    <t>PEN-2027-206</t>
  </si>
  <si>
    <t>PEN-2027-207</t>
  </si>
  <si>
    <t>PEN-2027-208</t>
  </si>
  <si>
    <t>PEN-2027-209</t>
  </si>
  <si>
    <t>PEN-2027-210</t>
  </si>
  <si>
    <t>PEN-2027-211</t>
  </si>
  <si>
    <t>PEN-2027-212</t>
  </si>
  <si>
    <t>PEN-2027-213</t>
  </si>
  <si>
    <t>PEN-2027-214</t>
  </si>
  <si>
    <t>PEN-2027-215</t>
  </si>
  <si>
    <t>PEN-2027-216</t>
  </si>
  <si>
    <t>PEN-2027-217</t>
  </si>
  <si>
    <t>PEN-2027-218</t>
  </si>
  <si>
    <t>PEN-2027-219</t>
  </si>
  <si>
    <t>PEN-2027-220</t>
  </si>
  <si>
    <t>PEN-2027-221</t>
  </si>
  <si>
    <t>PEN-2027-222</t>
  </si>
  <si>
    <t>PEN-2027-223</t>
  </si>
  <si>
    <t>PEN-2027-224</t>
  </si>
  <si>
    <t>PEN-2027-225</t>
  </si>
  <si>
    <t>PEN-2027-226</t>
  </si>
  <si>
    <t>PEN-2027-227</t>
  </si>
  <si>
    <t>PEN-2027-228</t>
  </si>
  <si>
    <t>PEN-2027-229</t>
  </si>
  <si>
    <t>PEN-2027-230</t>
  </si>
  <si>
    <t>PEN-2027-231</t>
  </si>
  <si>
    <t>PEN-2027-232</t>
  </si>
  <si>
    <t>PEN-2027-233</t>
  </si>
  <si>
    <t>PEN-2027-234</t>
  </si>
  <si>
    <t>PEN-2027-235</t>
  </si>
  <si>
    <t>PEN-2027-236</t>
  </si>
  <si>
    <t>PEN-2027-237</t>
  </si>
  <si>
    <t>PEN-2027-238</t>
  </si>
  <si>
    <t>PEN-2027-239</t>
  </si>
  <si>
    <t>PEN-2027-240</t>
  </si>
  <si>
    <t>PEN-2027-241</t>
  </si>
  <si>
    <t>PEN-2027-242</t>
  </si>
  <si>
    <t>PEN-2027-243</t>
  </si>
  <si>
    <t>PEN-2027-244</t>
  </si>
  <si>
    <t>PEN-2027-245</t>
  </si>
  <si>
    <t>PEN-2027-246</t>
  </si>
  <si>
    <t>PEN-2027-247</t>
  </si>
  <si>
    <t>PEN-2027-248</t>
  </si>
  <si>
    <t>PEN-2027-249</t>
  </si>
  <si>
    <t>PEN-2027-250</t>
  </si>
  <si>
    <t>PEN-2027-251</t>
  </si>
  <si>
    <t>PEN-2027-252</t>
  </si>
  <si>
    <t>PEN-2027-253</t>
  </si>
  <si>
    <t>PEN-2027-254</t>
  </si>
  <si>
    <t>PEN-2027-255</t>
  </si>
  <si>
    <t>PEN-2027-256</t>
  </si>
  <si>
    <t>PEN-2027-257</t>
  </si>
  <si>
    <t>PEN-2027-258</t>
  </si>
  <si>
    <t>PEN-2027-259</t>
  </si>
  <si>
    <t>PEN-2027-260</t>
  </si>
  <si>
    <t>PEN-2027-261</t>
  </si>
  <si>
    <t>PEN-2027-262</t>
  </si>
  <si>
    <t>PEN-2027-263</t>
  </si>
  <si>
    <t>PEN-2027-264</t>
  </si>
  <si>
    <t>PEN-2027-265</t>
  </si>
  <si>
    <t>PEN-2027-266</t>
  </si>
  <si>
    <t>PEN-2027-267</t>
  </si>
  <si>
    <t>PEN-2027-268</t>
  </si>
  <si>
    <t>PEN-2027-269</t>
  </si>
  <si>
    <t>PEN-2027-270</t>
  </si>
  <si>
    <t>PEN-2027-271</t>
  </si>
  <si>
    <t>PEN-2027-272</t>
  </si>
  <si>
    <t>PEN-2027-273</t>
  </si>
  <si>
    <t>PEN-2027-274</t>
  </si>
  <si>
    <t>PEN-2027-275</t>
  </si>
  <si>
    <t>PEN-2027-276</t>
  </si>
  <si>
    <t>PEN-2027-277</t>
  </si>
  <si>
    <t>PEN-2027-278</t>
  </si>
  <si>
    <t>PEN-2027-279</t>
  </si>
  <si>
    <t>PEN-2027-280</t>
  </si>
  <si>
    <t>PEN-2027-281</t>
  </si>
  <si>
    <t>PEN-2027-282</t>
  </si>
  <si>
    <t>PEN-2027-283</t>
  </si>
  <si>
    <t>PEN-2027-284</t>
  </si>
  <si>
    <t>PEN-2027-285</t>
  </si>
  <si>
    <t>PEN-2027-286</t>
  </si>
  <si>
    <t>PEN-2027-287</t>
  </si>
  <si>
    <t>PEN-2027-288</t>
  </si>
  <si>
    <t>PEN-2027-289</t>
  </si>
  <si>
    <t>PEN-2027-290</t>
  </si>
  <si>
    <t>PEN-2027-291</t>
  </si>
  <si>
    <t>PEN-2027-292</t>
  </si>
  <si>
    <t>PEN-2027-293</t>
  </si>
  <si>
    <t>PEN-2027-294</t>
  </si>
  <si>
    <t>PEN-2027-295</t>
  </si>
  <si>
    <t>PEN-2027-296</t>
  </si>
  <si>
    <t>PEN-2027-297</t>
  </si>
  <si>
    <t>PEN-2027-298</t>
  </si>
  <si>
    <t>PEN-2027-299</t>
  </si>
  <si>
    <t>PEN-2027-300</t>
  </si>
  <si>
    <t>TOTAL PÉNALITÉS NON RECOUVRÉES</t>
  </si>
  <si>
    <t>🏧  JOURNAL DE CAISSE — TONTINE SOLIDARITÉ PLUS 2027</t>
  </si>
  <si>
    <t>📅 SOLDE INITIAL (FCFA)</t>
  </si>
  <si>
    <t>← Saisir le solde d'ouverture ici</t>
  </si>
  <si>
    <t>ID_TXN</t>
  </si>
  <si>
    <t>TYPE</t>
  </si>
  <si>
    <t>ENTRÉE
(FCFA)</t>
  </si>
  <si>
    <t>SORTIE
(FCFA)</t>
  </si>
  <si>
    <t>SOLDE
(FCFA)</t>
  </si>
  <si>
    <t>RÉFÉRENCE</t>
  </si>
  <si>
    <t>ORIGINE</t>
  </si>
  <si>
    <t>TXN-2027-0001</t>
  </si>
  <si>
    <t>TXN-2027-0002</t>
  </si>
  <si>
    <t>TXN-2027-0003</t>
  </si>
  <si>
    <t>TXN-2027-0004</t>
  </si>
  <si>
    <t>TXN-2027-0005</t>
  </si>
  <si>
    <t>TXN-2027-0006</t>
  </si>
  <si>
    <t>TXN-2027-0007</t>
  </si>
  <si>
    <t>TXN-2027-0008</t>
  </si>
  <si>
    <t>TXN-2027-0009</t>
  </si>
  <si>
    <t>TXN-2027-0010</t>
  </si>
  <si>
    <t>TXN-2027-0011</t>
  </si>
  <si>
    <t>TXN-2027-0012</t>
  </si>
  <si>
    <t>TXN-2027-0013</t>
  </si>
  <si>
    <t>TXN-2027-0014</t>
  </si>
  <si>
    <t>TXN-2027-0015</t>
  </si>
  <si>
    <t>TXN-2027-0016</t>
  </si>
  <si>
    <t>TXN-2027-0017</t>
  </si>
  <si>
    <t>TXN-2027-0018</t>
  </si>
  <si>
    <t>TXN-2027-0019</t>
  </si>
  <si>
    <t>TXN-2027-0020</t>
  </si>
  <si>
    <t>TXN-2027-0021</t>
  </si>
  <si>
    <t>TXN-2027-0022</t>
  </si>
  <si>
    <t>TXN-2027-0023</t>
  </si>
  <si>
    <t>TXN-2027-0024</t>
  </si>
  <si>
    <t>TXN-2027-0025</t>
  </si>
  <si>
    <t>TXN-2027-0026</t>
  </si>
  <si>
    <t>TXN-2027-0027</t>
  </si>
  <si>
    <t>TXN-2027-0028</t>
  </si>
  <si>
    <t>TXN-2027-0029</t>
  </si>
  <si>
    <t>TXN-2027-0030</t>
  </si>
  <si>
    <t>TXN-2027-0031</t>
  </si>
  <si>
    <t>TXN-2027-0032</t>
  </si>
  <si>
    <t>TXN-2027-0033</t>
  </si>
  <si>
    <t>TXN-2027-0034</t>
  </si>
  <si>
    <t>TXN-2027-0035</t>
  </si>
  <si>
    <t>TXN-2027-0036</t>
  </si>
  <si>
    <t>TXN-2027-0037</t>
  </si>
  <si>
    <t>TXN-2027-0038</t>
  </si>
  <si>
    <t>TXN-2027-0039</t>
  </si>
  <si>
    <t>TXN-2027-0040</t>
  </si>
  <si>
    <t>TXN-2027-0041</t>
  </si>
  <si>
    <t>TXN-2027-0042</t>
  </si>
  <si>
    <t>TXN-2027-0043</t>
  </si>
  <si>
    <t>TXN-2027-0044</t>
  </si>
  <si>
    <t>TXN-2027-0045</t>
  </si>
  <si>
    <t>TXN-2027-0046</t>
  </si>
  <si>
    <t>TXN-2027-0047</t>
  </si>
  <si>
    <t>TXN-2027-0048</t>
  </si>
  <si>
    <t>TXN-2027-0049</t>
  </si>
  <si>
    <t>TXN-2027-0050</t>
  </si>
  <si>
    <t>TXN-2027-0051</t>
  </si>
  <si>
    <t>TXN-2027-0052</t>
  </si>
  <si>
    <t>TXN-2027-0053</t>
  </si>
  <si>
    <t>TXN-2027-0054</t>
  </si>
  <si>
    <t>TXN-2027-0055</t>
  </si>
  <si>
    <t>TXN-2027-0056</t>
  </si>
  <si>
    <t>TXN-2027-0057</t>
  </si>
  <si>
    <t>TXN-2027-0058</t>
  </si>
  <si>
    <t>TXN-2027-0059</t>
  </si>
  <si>
    <t>TXN-2027-0060</t>
  </si>
  <si>
    <t>TXN-2027-0061</t>
  </si>
  <si>
    <t>TXN-2027-0062</t>
  </si>
  <si>
    <t>TXN-2027-0063</t>
  </si>
  <si>
    <t>TXN-2027-0064</t>
  </si>
  <si>
    <t>TXN-2027-0065</t>
  </si>
  <si>
    <t>TXN-2027-0066</t>
  </si>
  <si>
    <t>TXN-2027-0067</t>
  </si>
  <si>
    <t>TXN-2027-0068</t>
  </si>
  <si>
    <t>TXN-2027-0069</t>
  </si>
  <si>
    <t>TXN-2027-0070</t>
  </si>
  <si>
    <t>TXN-2027-0071</t>
  </si>
  <si>
    <t>TXN-2027-0072</t>
  </si>
  <si>
    <t>TXN-2027-0073</t>
  </si>
  <si>
    <t>TXN-2027-0074</t>
  </si>
  <si>
    <t>TXN-2027-0075</t>
  </si>
  <si>
    <t>TXN-2027-0076</t>
  </si>
  <si>
    <t>TXN-2027-0077</t>
  </si>
  <si>
    <t>TXN-2027-0078</t>
  </si>
  <si>
    <t>TXN-2027-0079</t>
  </si>
  <si>
    <t>TXN-2027-0080</t>
  </si>
  <si>
    <t>TXN-2027-0081</t>
  </si>
  <si>
    <t>TXN-2027-0082</t>
  </si>
  <si>
    <t>TXN-2027-0083</t>
  </si>
  <si>
    <t>TXN-2027-0084</t>
  </si>
  <si>
    <t>TXN-2027-0085</t>
  </si>
  <si>
    <t>TXN-2027-0086</t>
  </si>
  <si>
    <t>TXN-2027-0087</t>
  </si>
  <si>
    <t>TXN-2027-0088</t>
  </si>
  <si>
    <t>TXN-2027-0089</t>
  </si>
  <si>
    <t>TXN-2027-0090</t>
  </si>
  <si>
    <t>TXN-2027-0091</t>
  </si>
  <si>
    <t>TXN-2027-0092</t>
  </si>
  <si>
    <t>TXN-2027-0093</t>
  </si>
  <si>
    <t>TXN-2027-0094</t>
  </si>
  <si>
    <t>TXN-2027-0095</t>
  </si>
  <si>
    <t>TXN-2027-0096</t>
  </si>
  <si>
    <t>TXN-2027-0097</t>
  </si>
  <si>
    <t>TXN-2027-0098</t>
  </si>
  <si>
    <t>TXN-2027-0099</t>
  </si>
  <si>
    <t>TXN-2027-0100</t>
  </si>
  <si>
    <t>TXN-2027-0101</t>
  </si>
  <si>
    <t>TXN-2027-0102</t>
  </si>
  <si>
    <t>TXN-2027-0103</t>
  </si>
  <si>
    <t>TXN-2027-0104</t>
  </si>
  <si>
    <t>TXN-2027-0105</t>
  </si>
  <si>
    <t>TXN-2027-0106</t>
  </si>
  <si>
    <t>TXN-2027-0107</t>
  </si>
  <si>
    <t>TXN-2027-0108</t>
  </si>
  <si>
    <t>TXN-2027-0109</t>
  </si>
  <si>
    <t>TXN-2027-0110</t>
  </si>
  <si>
    <t>TXN-2027-0111</t>
  </si>
  <si>
    <t>TXN-2027-0112</t>
  </si>
  <si>
    <t>TXN-2027-0113</t>
  </si>
  <si>
    <t>TXN-2027-0114</t>
  </si>
  <si>
    <t>TXN-2027-0115</t>
  </si>
  <si>
    <t>TXN-2027-0116</t>
  </si>
  <si>
    <t>TXN-2027-0117</t>
  </si>
  <si>
    <t>TXN-2027-0118</t>
  </si>
  <si>
    <t>TXN-2027-0119</t>
  </si>
  <si>
    <t>TXN-2027-0120</t>
  </si>
  <si>
    <t>TXN-2027-0121</t>
  </si>
  <si>
    <t>TXN-2027-0122</t>
  </si>
  <si>
    <t>TXN-2027-0123</t>
  </si>
  <si>
    <t>TXN-2027-0124</t>
  </si>
  <si>
    <t>TXN-2027-0125</t>
  </si>
  <si>
    <t>TXN-2027-0126</t>
  </si>
  <si>
    <t>TXN-2027-0127</t>
  </si>
  <si>
    <t>TXN-2027-0128</t>
  </si>
  <si>
    <t>TXN-2027-0129</t>
  </si>
  <si>
    <t>TXN-2027-0130</t>
  </si>
  <si>
    <t>TXN-2027-0131</t>
  </si>
  <si>
    <t>TXN-2027-0132</t>
  </si>
  <si>
    <t>TXN-2027-0133</t>
  </si>
  <si>
    <t>TXN-2027-0134</t>
  </si>
  <si>
    <t>TXN-2027-0135</t>
  </si>
  <si>
    <t>TXN-2027-0136</t>
  </si>
  <si>
    <t>TXN-2027-0137</t>
  </si>
  <si>
    <t>TXN-2027-0138</t>
  </si>
  <si>
    <t>TXN-2027-0139</t>
  </si>
  <si>
    <t>TXN-2027-0140</t>
  </si>
  <si>
    <t>TXN-2027-0141</t>
  </si>
  <si>
    <t>TXN-2027-0142</t>
  </si>
  <si>
    <t>TXN-2027-0143</t>
  </si>
  <si>
    <t>TXN-2027-0144</t>
  </si>
  <si>
    <t>TXN-2027-0145</t>
  </si>
  <si>
    <t>TXN-2027-0146</t>
  </si>
  <si>
    <t>TXN-2027-0147</t>
  </si>
  <si>
    <t>TXN-2027-0148</t>
  </si>
  <si>
    <t>TXN-2027-0149</t>
  </si>
  <si>
    <t>TXN-2027-0150</t>
  </si>
  <si>
    <t>TXN-2027-0151</t>
  </si>
  <si>
    <t>TXN-2027-0152</t>
  </si>
  <si>
    <t>TXN-2027-0153</t>
  </si>
  <si>
    <t>TXN-2027-0154</t>
  </si>
  <si>
    <t>TXN-2027-0155</t>
  </si>
  <si>
    <t>TXN-2027-0156</t>
  </si>
  <si>
    <t>TXN-2027-0157</t>
  </si>
  <si>
    <t>TXN-2027-0158</t>
  </si>
  <si>
    <t>TXN-2027-0159</t>
  </si>
  <si>
    <t>TXN-2027-0160</t>
  </si>
  <si>
    <t>TXN-2027-0161</t>
  </si>
  <si>
    <t>TXN-2027-0162</t>
  </si>
  <si>
    <t>TXN-2027-0163</t>
  </si>
  <si>
    <t>TXN-2027-0164</t>
  </si>
  <si>
    <t>TXN-2027-0165</t>
  </si>
  <si>
    <t>TXN-2027-0166</t>
  </si>
  <si>
    <t>TXN-2027-0167</t>
  </si>
  <si>
    <t>TXN-2027-0168</t>
  </si>
  <si>
    <t>TXN-2027-0169</t>
  </si>
  <si>
    <t>TXN-2027-0170</t>
  </si>
  <si>
    <t>TXN-2027-0171</t>
  </si>
  <si>
    <t>TXN-2027-0172</t>
  </si>
  <si>
    <t>TXN-2027-0173</t>
  </si>
  <si>
    <t>TXN-2027-0174</t>
  </si>
  <si>
    <t>TXN-2027-0175</t>
  </si>
  <si>
    <t>TXN-2027-0176</t>
  </si>
  <si>
    <t>TXN-2027-0177</t>
  </si>
  <si>
    <t>TXN-2027-0178</t>
  </si>
  <si>
    <t>TXN-2027-0179</t>
  </si>
  <si>
    <t>TXN-2027-0180</t>
  </si>
  <si>
    <t>TXN-2027-0181</t>
  </si>
  <si>
    <t>TXN-2027-0182</t>
  </si>
  <si>
    <t>TXN-2027-0183</t>
  </si>
  <si>
    <t>TXN-2027-0184</t>
  </si>
  <si>
    <t>TXN-2027-0185</t>
  </si>
  <si>
    <t>TXN-2027-0186</t>
  </si>
  <si>
    <t>TXN-2027-0187</t>
  </si>
  <si>
    <t>TXN-2027-0188</t>
  </si>
  <si>
    <t>TXN-2027-0189</t>
  </si>
  <si>
    <t>TXN-2027-0190</t>
  </si>
  <si>
    <t>TXN-2027-0191</t>
  </si>
  <si>
    <t>TXN-2027-0192</t>
  </si>
  <si>
    <t>TXN-2027-0193</t>
  </si>
  <si>
    <t>TXN-2027-0194</t>
  </si>
  <si>
    <t>TXN-2027-0195</t>
  </si>
  <si>
    <t>TXN-2027-0196</t>
  </si>
  <si>
    <t>TXN-2027-0197</t>
  </si>
  <si>
    <t>TXN-2027-0198</t>
  </si>
  <si>
    <t>TXN-2027-0199</t>
  </si>
  <si>
    <t>TXN-2027-0200</t>
  </si>
  <si>
    <t>TXN-2027-0201</t>
  </si>
  <si>
    <t>TXN-2027-0202</t>
  </si>
  <si>
    <t>TXN-2027-0203</t>
  </si>
  <si>
    <t>TXN-2027-0204</t>
  </si>
  <si>
    <t>TXN-2027-0205</t>
  </si>
  <si>
    <t>TXN-2027-0206</t>
  </si>
  <si>
    <t>TXN-2027-0207</t>
  </si>
  <si>
    <t>TXN-2027-0208</t>
  </si>
  <si>
    <t>TXN-2027-0209</t>
  </si>
  <si>
    <t>TXN-2027-0210</t>
  </si>
  <si>
    <t>TXN-2027-0211</t>
  </si>
  <si>
    <t>TXN-2027-0212</t>
  </si>
  <si>
    <t>TXN-2027-0213</t>
  </si>
  <si>
    <t>TXN-2027-0214</t>
  </si>
  <si>
    <t>TXN-2027-0215</t>
  </si>
  <si>
    <t>TXN-2027-0216</t>
  </si>
  <si>
    <t>TXN-2027-0217</t>
  </si>
  <si>
    <t>TXN-2027-0218</t>
  </si>
  <si>
    <t>TXN-2027-0219</t>
  </si>
  <si>
    <t>TXN-2027-0220</t>
  </si>
  <si>
    <t>TXN-2027-0221</t>
  </si>
  <si>
    <t>TXN-2027-0222</t>
  </si>
  <si>
    <t>TXN-2027-0223</t>
  </si>
  <si>
    <t>TXN-2027-0224</t>
  </si>
  <si>
    <t>TXN-2027-0225</t>
  </si>
  <si>
    <t>TXN-2027-0226</t>
  </si>
  <si>
    <t>TXN-2027-0227</t>
  </si>
  <si>
    <t>TXN-2027-0228</t>
  </si>
  <si>
    <t>TXN-2027-0229</t>
  </si>
  <si>
    <t>TXN-2027-0230</t>
  </si>
  <si>
    <t>TXN-2027-0231</t>
  </si>
  <si>
    <t>TXN-2027-0232</t>
  </si>
  <si>
    <t>TXN-2027-0233</t>
  </si>
  <si>
    <t>TXN-2027-0234</t>
  </si>
  <si>
    <t>TXN-2027-0235</t>
  </si>
  <si>
    <t>TXN-2027-0236</t>
  </si>
  <si>
    <t>TXN-2027-0237</t>
  </si>
  <si>
    <t>TXN-2027-0238</t>
  </si>
  <si>
    <t>TXN-2027-0239</t>
  </si>
  <si>
    <t>TXN-2027-0240</t>
  </si>
  <si>
    <t>TXN-2027-0241</t>
  </si>
  <si>
    <t>TXN-2027-0242</t>
  </si>
  <si>
    <t>TXN-2027-0243</t>
  </si>
  <si>
    <t>TXN-2027-0244</t>
  </si>
  <si>
    <t>TXN-2027-0245</t>
  </si>
  <si>
    <t>TXN-2027-0246</t>
  </si>
  <si>
    <t>TXN-2027-0247</t>
  </si>
  <si>
    <t>TXN-2027-0248</t>
  </si>
  <si>
    <t>TXN-2027-0249</t>
  </si>
  <si>
    <t>TXN-2027-0250</t>
  </si>
  <si>
    <t>TXN-2027-0251</t>
  </si>
  <si>
    <t>TXN-2027-0252</t>
  </si>
  <si>
    <t>TXN-2027-0253</t>
  </si>
  <si>
    <t>TXN-2027-0254</t>
  </si>
  <si>
    <t>TXN-2027-0255</t>
  </si>
  <si>
    <t>TXN-2027-0256</t>
  </si>
  <si>
    <t>TXN-2027-0257</t>
  </si>
  <si>
    <t>TXN-2027-0258</t>
  </si>
  <si>
    <t>TXN-2027-0259</t>
  </si>
  <si>
    <t>TXN-2027-0260</t>
  </si>
  <si>
    <t>TXN-2027-0261</t>
  </si>
  <si>
    <t>TXN-2027-0262</t>
  </si>
  <si>
    <t>TXN-2027-0263</t>
  </si>
  <si>
    <t>TXN-2027-0264</t>
  </si>
  <si>
    <t>TXN-2027-0265</t>
  </si>
  <si>
    <t>TXN-2027-0266</t>
  </si>
  <si>
    <t>TXN-2027-0267</t>
  </si>
  <si>
    <t>TXN-2027-0268</t>
  </si>
  <si>
    <t>TXN-2027-0269</t>
  </si>
  <si>
    <t>TXN-2027-0270</t>
  </si>
  <si>
    <t>TXN-2027-0271</t>
  </si>
  <si>
    <t>TXN-2027-0272</t>
  </si>
  <si>
    <t>TXN-2027-0273</t>
  </si>
  <si>
    <t>TXN-2027-0274</t>
  </si>
  <si>
    <t>TXN-2027-0275</t>
  </si>
  <si>
    <t>TXN-2027-0276</t>
  </si>
  <si>
    <t>TXN-2027-0277</t>
  </si>
  <si>
    <t>TXN-2027-0278</t>
  </si>
  <si>
    <t>TXN-2027-0279</t>
  </si>
  <si>
    <t>TXN-2027-0280</t>
  </si>
  <si>
    <t>TXN-2027-0281</t>
  </si>
  <si>
    <t>TXN-2027-0282</t>
  </si>
  <si>
    <t>TXN-2027-0283</t>
  </si>
  <si>
    <t>TXN-2027-0284</t>
  </si>
  <si>
    <t>TXN-2027-0285</t>
  </si>
  <si>
    <t>TXN-2027-0286</t>
  </si>
  <si>
    <t>TXN-2027-0287</t>
  </si>
  <si>
    <t>TXN-2027-0288</t>
  </si>
  <si>
    <t>TXN-2027-0289</t>
  </si>
  <si>
    <t>TXN-2027-0290</t>
  </si>
  <si>
    <t>TXN-2027-0291</t>
  </si>
  <si>
    <t>TXN-2027-0292</t>
  </si>
  <si>
    <t>TXN-2027-0293</t>
  </si>
  <si>
    <t>TXN-2027-0294</t>
  </si>
  <si>
    <t>TXN-2027-0295</t>
  </si>
  <si>
    <t>TXN-2027-0296</t>
  </si>
  <si>
    <t>TXN-2027-0297</t>
  </si>
  <si>
    <t>TXN-2027-0298</t>
  </si>
  <si>
    <t>TXN-2027-0299</t>
  </si>
  <si>
    <t>TXN-2027-0300</t>
  </si>
  <si>
    <t>TXN-2027-0301</t>
  </si>
  <si>
    <t>TXN-2027-0302</t>
  </si>
  <si>
    <t>TXN-2027-0303</t>
  </si>
  <si>
    <t>TXN-2027-0304</t>
  </si>
  <si>
    <t>TXN-2027-0305</t>
  </si>
  <si>
    <t>TXN-2027-0306</t>
  </si>
  <si>
    <t>TXN-2027-0307</t>
  </si>
  <si>
    <t>TXN-2027-0308</t>
  </si>
  <si>
    <t>TXN-2027-0309</t>
  </si>
  <si>
    <t>TXN-2027-0310</t>
  </si>
  <si>
    <t>TXN-2027-0311</t>
  </si>
  <si>
    <t>TXN-2027-0312</t>
  </si>
  <si>
    <t>TXN-2027-0313</t>
  </si>
  <si>
    <t>TXN-2027-0314</t>
  </si>
  <si>
    <t>TXN-2027-0315</t>
  </si>
  <si>
    <t>TXN-2027-0316</t>
  </si>
  <si>
    <t>TXN-2027-0317</t>
  </si>
  <si>
    <t>TXN-2027-0318</t>
  </si>
  <si>
    <t>TXN-2027-0319</t>
  </si>
  <si>
    <t>TXN-2027-0320</t>
  </si>
  <si>
    <t>TXN-2027-0321</t>
  </si>
  <si>
    <t>TXN-2027-0322</t>
  </si>
  <si>
    <t>TXN-2027-0323</t>
  </si>
  <si>
    <t>TXN-2027-0324</t>
  </si>
  <si>
    <t>TXN-2027-0325</t>
  </si>
  <si>
    <t>TXN-2027-0326</t>
  </si>
  <si>
    <t>TXN-2027-0327</t>
  </si>
  <si>
    <t>TXN-2027-0328</t>
  </si>
  <si>
    <t>TXN-2027-0329</t>
  </si>
  <si>
    <t>TXN-2027-0330</t>
  </si>
  <si>
    <t>TXN-2027-0331</t>
  </si>
  <si>
    <t>TXN-2027-0332</t>
  </si>
  <si>
    <t>TXN-2027-0333</t>
  </si>
  <si>
    <t>TXN-2027-0334</t>
  </si>
  <si>
    <t>TXN-2027-0335</t>
  </si>
  <si>
    <t>TXN-2027-0336</t>
  </si>
  <si>
    <t>TXN-2027-0337</t>
  </si>
  <si>
    <t>TXN-2027-0338</t>
  </si>
  <si>
    <t>TXN-2027-0339</t>
  </si>
  <si>
    <t>TXN-2027-0340</t>
  </si>
  <si>
    <t>TXN-2027-0341</t>
  </si>
  <si>
    <t>TXN-2027-0342</t>
  </si>
  <si>
    <t>TXN-2027-0343</t>
  </si>
  <si>
    <t>TXN-2027-0344</t>
  </si>
  <si>
    <t>TXN-2027-0345</t>
  </si>
  <si>
    <t>TXN-2027-0346</t>
  </si>
  <si>
    <t>TXN-2027-0347</t>
  </si>
  <si>
    <t>TXN-2027-0348</t>
  </si>
  <si>
    <t>TXN-2027-0349</t>
  </si>
  <si>
    <t>TXN-2027-0350</t>
  </si>
  <si>
    <t>TXN-2027-0351</t>
  </si>
  <si>
    <t>TXN-2027-0352</t>
  </si>
  <si>
    <t>TXN-2027-0353</t>
  </si>
  <si>
    <t>TXN-2027-0354</t>
  </si>
  <si>
    <t>TXN-2027-0355</t>
  </si>
  <si>
    <t>TXN-2027-0356</t>
  </si>
  <si>
    <t>TXN-2027-0357</t>
  </si>
  <si>
    <t>TXN-2027-0358</t>
  </si>
  <si>
    <t>TXN-2027-0359</t>
  </si>
  <si>
    <t>TXN-2027-0360</t>
  </si>
  <si>
    <t>TXN-2027-0361</t>
  </si>
  <si>
    <t>TXN-2027-0362</t>
  </si>
  <si>
    <t>TXN-2027-0363</t>
  </si>
  <si>
    <t>TXN-2027-0364</t>
  </si>
  <si>
    <t>TXN-2027-0365</t>
  </si>
  <si>
    <t>TXN-2027-0366</t>
  </si>
  <si>
    <t>TXN-2027-0367</t>
  </si>
  <si>
    <t>TXN-2027-0368</t>
  </si>
  <si>
    <t>TXN-2027-0369</t>
  </si>
  <si>
    <t>TXN-2027-0370</t>
  </si>
  <si>
    <t>TXN-2027-0371</t>
  </si>
  <si>
    <t>TXN-2027-0372</t>
  </si>
  <si>
    <t>TXN-2027-0373</t>
  </si>
  <si>
    <t>TXN-2027-0374</t>
  </si>
  <si>
    <t>TXN-2027-0375</t>
  </si>
  <si>
    <t>TXN-2027-0376</t>
  </si>
  <si>
    <t>TXN-2027-0377</t>
  </si>
  <si>
    <t>TXN-2027-0378</t>
  </si>
  <si>
    <t>TXN-2027-0379</t>
  </si>
  <si>
    <t>TXN-2027-0380</t>
  </si>
  <si>
    <t>TXN-2027-0381</t>
  </si>
  <si>
    <t>TXN-2027-0382</t>
  </si>
  <si>
    <t>TXN-2027-0383</t>
  </si>
  <si>
    <t>TXN-2027-0384</t>
  </si>
  <si>
    <t>TXN-2027-0385</t>
  </si>
  <si>
    <t>TXN-2027-0386</t>
  </si>
  <si>
    <t>TXN-2027-0387</t>
  </si>
  <si>
    <t>TXN-2027-0388</t>
  </si>
  <si>
    <t>TXN-2027-0389</t>
  </si>
  <si>
    <t>TXN-2027-0390</t>
  </si>
  <si>
    <t>TXN-2027-0391</t>
  </si>
  <si>
    <t>TXN-2027-0392</t>
  </si>
  <si>
    <t>TXN-2027-0393</t>
  </si>
  <si>
    <t>TXN-2027-0394</t>
  </si>
  <si>
    <t>TXN-2027-0395</t>
  </si>
  <si>
    <t>TXN-2027-0396</t>
  </si>
  <si>
    <t>TXN-2027-0397</t>
  </si>
  <si>
    <t>TXN-2027-0398</t>
  </si>
  <si>
    <t>TXN-2027-0399</t>
  </si>
  <si>
    <t>TXN-2027-0400</t>
  </si>
  <si>
    <t>TXN-2027-0401</t>
  </si>
  <si>
    <t>TXN-2027-0402</t>
  </si>
  <si>
    <t>TXN-2027-0403</t>
  </si>
  <si>
    <t>TXN-2027-0404</t>
  </si>
  <si>
    <t>TXN-2027-0405</t>
  </si>
  <si>
    <t>TXN-2027-0406</t>
  </si>
  <si>
    <t>TXN-2027-0407</t>
  </si>
  <si>
    <t>TXN-2027-0408</t>
  </si>
  <si>
    <t>TXN-2027-0409</t>
  </si>
  <si>
    <t>TXN-2027-0410</t>
  </si>
  <si>
    <t>TXN-2027-0411</t>
  </si>
  <si>
    <t>TXN-2027-0412</t>
  </si>
  <si>
    <t>TXN-2027-0413</t>
  </si>
  <si>
    <t>TXN-2027-0414</t>
  </si>
  <si>
    <t>TXN-2027-0415</t>
  </si>
  <si>
    <t>TXN-2027-0416</t>
  </si>
  <si>
    <t>TXN-2027-0417</t>
  </si>
  <si>
    <t>TXN-2027-0418</t>
  </si>
  <si>
    <t>TXN-2027-0419</t>
  </si>
  <si>
    <t>TXN-2027-0420</t>
  </si>
  <si>
    <t>TXN-2027-0421</t>
  </si>
  <si>
    <t>TXN-2027-0422</t>
  </si>
  <si>
    <t>TXN-2027-0423</t>
  </si>
  <si>
    <t>TXN-2027-0424</t>
  </si>
  <si>
    <t>TXN-2027-0425</t>
  </si>
  <si>
    <t>TXN-2027-0426</t>
  </si>
  <si>
    <t>TXN-2027-0427</t>
  </si>
  <si>
    <t>TXN-2027-0428</t>
  </si>
  <si>
    <t>TXN-2027-0429</t>
  </si>
  <si>
    <t>TXN-2027-0430</t>
  </si>
  <si>
    <t>TXN-2027-0431</t>
  </si>
  <si>
    <t>TXN-2027-0432</t>
  </si>
  <si>
    <t>TXN-2027-0433</t>
  </si>
  <si>
    <t>TXN-2027-0434</t>
  </si>
  <si>
    <t>TXN-2027-0435</t>
  </si>
  <si>
    <t>TXN-2027-0436</t>
  </si>
  <si>
    <t>TXN-2027-0437</t>
  </si>
  <si>
    <t>TXN-2027-0438</t>
  </si>
  <si>
    <t>TXN-2027-0439</t>
  </si>
  <si>
    <t>TXN-2027-0440</t>
  </si>
  <si>
    <t>TXN-2027-0441</t>
  </si>
  <si>
    <t>TXN-2027-0442</t>
  </si>
  <si>
    <t>TXN-2027-0443</t>
  </si>
  <si>
    <t>TXN-2027-0444</t>
  </si>
  <si>
    <t>TXN-2027-0445</t>
  </si>
  <si>
    <t>TXN-2027-0446</t>
  </si>
  <si>
    <t>TXN-2027-0447</t>
  </si>
  <si>
    <t>TXN-2027-0448</t>
  </si>
  <si>
    <t>TXN-2027-0449</t>
  </si>
  <si>
    <t>TXN-2027-0450</t>
  </si>
  <si>
    <t>TXN-2027-0451</t>
  </si>
  <si>
    <t>TXN-2027-0452</t>
  </si>
  <si>
    <t>TXN-2027-0453</t>
  </si>
  <si>
    <t>TXN-2027-0454</t>
  </si>
  <si>
    <t>TXN-2027-0455</t>
  </si>
  <si>
    <t>TXN-2027-0456</t>
  </si>
  <si>
    <t>TXN-2027-0457</t>
  </si>
  <si>
    <t>TXN-2027-0458</t>
  </si>
  <si>
    <t>TXN-2027-0459</t>
  </si>
  <si>
    <t>TXN-2027-0460</t>
  </si>
  <si>
    <t>TXN-2027-0461</t>
  </si>
  <si>
    <t>TXN-2027-0462</t>
  </si>
  <si>
    <t>TXN-2027-0463</t>
  </si>
  <si>
    <t>TXN-2027-0464</t>
  </si>
  <si>
    <t>TXN-2027-0465</t>
  </si>
  <si>
    <t>TXN-2027-0466</t>
  </si>
  <si>
    <t>TXN-2027-0467</t>
  </si>
  <si>
    <t>TXN-2027-0468</t>
  </si>
  <si>
    <t>TXN-2027-0469</t>
  </si>
  <si>
    <t>TXN-2027-0470</t>
  </si>
  <si>
    <t>TXN-2027-0471</t>
  </si>
  <si>
    <t>TXN-2027-0472</t>
  </si>
  <si>
    <t>TXN-2027-0473</t>
  </si>
  <si>
    <t>TXN-2027-0474</t>
  </si>
  <si>
    <t>TXN-2027-0475</t>
  </si>
  <si>
    <t>TXN-2027-0476</t>
  </si>
  <si>
    <t>TXN-2027-0477</t>
  </si>
  <si>
    <t>TXN-2027-0478</t>
  </si>
  <si>
    <t>TXN-2027-0479</t>
  </si>
  <si>
    <t>TXN-2027-0480</t>
  </si>
  <si>
    <t>TXN-2027-0481</t>
  </si>
  <si>
    <t>TXN-2027-0482</t>
  </si>
  <si>
    <t>TXN-2027-0483</t>
  </si>
  <si>
    <t>TXN-2027-0484</t>
  </si>
  <si>
    <t>TXN-2027-0485</t>
  </si>
  <si>
    <t>TXN-2027-0486</t>
  </si>
  <si>
    <t>TXN-2027-0487</t>
  </si>
  <si>
    <t>TXN-2027-0488</t>
  </si>
  <si>
    <t>TXN-2027-0489</t>
  </si>
  <si>
    <t>TXN-2027-0490</t>
  </si>
  <si>
    <t>TXN-2027-0491</t>
  </si>
  <si>
    <t>TXN-2027-0492</t>
  </si>
  <si>
    <t>TXN-2027-0493</t>
  </si>
  <si>
    <t>TXN-2027-0494</t>
  </si>
  <si>
    <t>TXN-2027-0495</t>
  </si>
  <si>
    <t>TXN-2027-0496</t>
  </si>
  <si>
    <t>TXN-2027-0497</t>
  </si>
  <si>
    <t>TXN-2027-0498</t>
  </si>
  <si>
    <t>TXN-2027-0499</t>
  </si>
  <si>
    <t>TXN-2027-0500</t>
  </si>
  <si>
    <t>📋  SOLDE GLOBAL PAR MEMBRE — TONTINE SOLIDARITÉ PLUS 2027</t>
  </si>
  <si>
    <t>Données liées automatiquement aux onglets COTISATIONS, PRÊTS et PÉNALITÉS</t>
  </si>
  <si>
    <t>#</t>
  </si>
  <si>
    <t>TOTAL COTISÉ
(FCFA)</t>
  </si>
  <si>
    <t>PÉNALITÉS
DUES (FCFA)</t>
  </si>
  <si>
    <t>PRÊTS EN
COURS (FCFA)</t>
  </si>
  <si>
    <t>SOLDE NET
(FCFA)</t>
  </si>
  <si>
    <t>TOTAUX</t>
  </si>
  <si>
    <t>📜  MODÈLE DE CONTRAT DE PRÊT — TONTINE SOLIDARITÉ PLUS 2027</t>
  </si>
  <si>
    <t>Saisir ID_PRÊT ci-dessous pour pré-remplir automatiquement :</t>
  </si>
  <si>
    <t>N° Contrat</t>
  </si>
  <si>
    <t>Nom de l'emprunteur</t>
  </si>
  <si>
    <t>Prénoms</t>
  </si>
  <si>
    <t>ID Membre</t>
  </si>
  <si>
    <t>Date du prêt</t>
  </si>
  <si>
    <t>Montant emprunté (FCFA)</t>
  </si>
  <si>
    <t>Frais de retrait (FCFA)</t>
  </si>
  <si>
    <t>Taux d'intérêt (1er mois)</t>
  </si>
  <si>
    <t>Taux supplémentaire (&gt;2 mois)</t>
  </si>
  <si>
    <t>Date d'échéance</t>
  </si>
  <si>
    <t>Montant total dû (FCFA)</t>
  </si>
  <si>
    <t>Nom du témoin</t>
  </si>
  <si>
    <t>Téléphone témoin</t>
  </si>
  <si>
    <t>Adresse témoin</t>
  </si>
  <si>
    <t>Statut actuel</t>
  </si>
  <si>
    <t>Signature de l'emprunteur :
__________________________</t>
  </si>
  <si>
    <t>Signature du Trésorier / Président :
__________________________</t>
  </si>
  <si>
    <t>📊  TABLEAU DE BORD — TONTINE SOLIDARITÉ PLUS 2027</t>
  </si>
  <si>
    <t>💰 TRÉSORERIE
DISPONIBLE</t>
  </si>
  <si>
    <t>📤 COTISATIONS
TOTALES</t>
  </si>
  <si>
    <t>🏦 PRÊTS
OCTROYÉS</t>
  </si>
  <si>
    <t>📈 INTÉRÊTS
GÉNÉRÉS</t>
  </si>
  <si>
    <t>👥 MEMBRES
ACTIFS</t>
  </si>
  <si>
    <t>⚙️ TAUX
D'INTÉRÊT</t>
  </si>
  <si>
    <t>⚠️ PÉNALITÉS
NON RECOUVRÉES</t>
  </si>
  <si>
    <t>📊 ENCOURS
PRÊTS</t>
  </si>
  <si>
    <t>🏆  CLASSEMENT DES MEMBRES PAR COTISATION</t>
  </si>
  <si>
    <t>RANG</t>
  </si>
  <si>
    <t>TOTAL COTISÉ</t>
  </si>
  <si>
    <t>PÉNALITÉS DUES</t>
  </si>
  <si>
    <t>PRÊTS EN COURS</t>
  </si>
  <si>
    <t>SOLDE NET</t>
  </si>
  <si>
    <t>📅  RÉSUMÉ DES COTISATIONS PAR MOIS</t>
  </si>
  <si>
    <t>JANV.</t>
  </si>
  <si>
    <t>FÉVR.</t>
  </si>
  <si>
    <t>JUIL.</t>
  </si>
  <si>
    <t>SEPT.</t>
  </si>
  <si>
    <t>OCT.</t>
  </si>
  <si>
    <t>NOV.</t>
  </si>
  <si>
    <t>DÉC.</t>
  </si>
  <si>
    <t>🪪  FICHE D'IDENTITÉ DES MEMBRES — TONTINE SOLIDARITÉ PLUS 2027</t>
  </si>
  <si>
    <t>N° CARTE CIP</t>
  </si>
  <si>
    <t>PROVENANCE</t>
  </si>
  <si>
    <t>Système de Gestion Financière Professionnelle</t>
  </si>
  <si>
    <t>Bienvenue dans votre espace de gestion de tontine.
Naviguez via les onglets ci-dessous.</t>
  </si>
  <si>
    <t>📋 MODULES DISPONIBLES
• Gestion des membres &amp; identités
• Suivi hebdomadaire des cotisations
• Gestion des prêts &amp; remboursements
• Calcul automatique des pénalités
• Tableau de bord dynamique</t>
  </si>
  <si>
    <t>⚙️ PARAMÈTRES CLÉS
• Taux d'intérêt : 12% (modifiable)
• Cotisation standard : 2 500 FCFA/semaine
• Pénalité retard : 100: FCFA
• Pénalité absence : 500 FCFA
• 23 membres actifs(modifiable)</t>
  </si>
  <si>
    <t>💡 MODE D'EMPLOI : Toutes les feuilles sont reliées par ID_MEMBRE (TSP-2027-XXX). Ne jamais modifier les IDs. Généré le 13/05/2026</t>
  </si>
  <si>
    <t>⚙️ PARAMETRES</t>
  </si>
  <si>
    <t xml:space="preserve"> 🔄REMBOURSEMENT</t>
  </si>
  <si>
    <r>
      <t xml:space="preserve">🏦  </t>
    </r>
    <r>
      <rPr>
        <b/>
        <sz val="22"/>
        <color rgb="FFC9A84C"/>
        <rFont val="Times New Roman"/>
        <family val="1"/>
      </rPr>
      <t>TONTINE SOLIDARITÉ PLUS 2027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</si>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</sst>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FCFA&quot;"/>
  </numFmts>
  <fonts count="3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8B"/>
      <name val="Arial"/>
      <family val="2"/>
    </font>
    <font>
      <sz val="10"/>
      <color rgb="FF000000"/>
      <name val="Arial"/>
      <family val="2"/>
    </font>
    <font>
      <i/>
      <sz val="9"/>
      <color rgb="FF444444"/>
      <name val="Arial"/>
      <family val="2"/>
    </font>
    <font>
      <i/>
      <sz val="10"/>
      <color rgb="FF444444"/>
      <name val="Arial"/>
      <family val="2"/>
    </font>
    <font>
      <b/>
      <sz val="10"/>
      <color rgb="FF00008B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b/>
      <sz val="9"/>
      <color rgb="FF00008B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b/>
      <sz val="13"/>
      <color rgb="FF00008B"/>
      <name val="Arial"/>
      <family val="2"/>
    </font>
    <font>
      <b/>
      <sz val="11"/>
      <color rgb="FF1A5276"/>
      <name val="Arial"/>
      <family val="2"/>
    </font>
    <font>
      <i/>
      <sz val="10"/>
      <color rgb="FF666666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B3A6B"/>
      <name val="Arial"/>
      <family val="2"/>
    </font>
    <font>
      <sz val="10"/>
      <color rgb="FFE36C09"/>
      <name val="Arial"/>
      <family val="2"/>
    </font>
    <font>
      <sz val="10"/>
      <color rgb="FFE36C09"/>
      <name val="Arial"/>
      <family val="2"/>
    </font>
    <font>
      <b/>
      <sz val="11"/>
      <color rgb="FFFFFFFF"/>
      <name val="Arial"/>
      <family val="2"/>
    </font>
    <font>
      <b/>
      <sz val="22"/>
      <color rgb="FFC9A84C"/>
      <name val="Arial"/>
      <family val="2"/>
    </font>
    <font>
      <b/>
      <sz val="22"/>
      <color rgb="FFC9A84C"/>
      <name val="Times New Roman"/>
      <family val="1"/>
    </font>
    <font>
      <i/>
      <sz val="13"/>
      <color rgb="FFFFFFFF"/>
      <name val="Arial"/>
      <family val="2"/>
    </font>
    <font>
      <sz val="11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1B2A4A"/>
        <bgColor rgb="FF17202A"/>
      </patternFill>
    </fill>
    <fill>
      <patternFill patternType="solid">
        <fgColor rgb="FF1E7D46"/>
        <bgColor rgb="FF0E6655"/>
      </patternFill>
    </fill>
    <fill>
      <patternFill patternType="solid">
        <fgColor rgb="FF1A5276"/>
        <bgColor rgb="FF1B4F72"/>
      </patternFill>
    </fill>
    <fill>
      <patternFill patternType="solid">
        <fgColor rgb="FF6E2F8C"/>
        <bgColor rgb="FF4A235A"/>
      </patternFill>
    </fill>
    <fill>
      <patternFill patternType="solid">
        <fgColor rgb="FF784212"/>
        <bgColor rgb="FF555555"/>
      </patternFill>
    </fill>
    <fill>
      <patternFill patternType="solid">
        <fgColor rgb="FFC0392B"/>
        <bgColor rgb="FF784212"/>
      </patternFill>
    </fill>
    <fill>
      <patternFill patternType="solid">
        <fgColor rgb="FF1B4F72"/>
        <bgColor rgb="FF1A5276"/>
      </patternFill>
    </fill>
    <fill>
      <patternFill patternType="solid">
        <fgColor rgb="FF0E6655"/>
        <bgColor rgb="FF145A32"/>
      </patternFill>
    </fill>
    <fill>
      <patternFill patternType="solid">
        <fgColor rgb="FF4A235A"/>
        <bgColor rgb="FF444444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9C4"/>
        <bgColor rgb="FFFDEBD0"/>
      </patternFill>
    </fill>
    <fill>
      <patternFill patternType="solid">
        <fgColor rgb="FFD6EAF8"/>
        <bgColor rgb="FFD5F5E3"/>
      </patternFill>
    </fill>
    <fill>
      <patternFill patternType="solid">
        <fgColor rgb="FF154360"/>
        <bgColor rgb="FF1B4F72"/>
      </patternFill>
    </fill>
    <fill>
      <patternFill patternType="solid">
        <fgColor rgb="FF145A32"/>
        <bgColor rgb="FF0E6655"/>
      </patternFill>
    </fill>
    <fill>
      <patternFill patternType="solid">
        <fgColor rgb="FF1D6A00"/>
        <bgColor rgb="FF145A32"/>
      </patternFill>
    </fill>
    <fill>
      <patternFill patternType="solid">
        <fgColor rgb="FF17202A"/>
        <bgColor rgb="FF1B2A4A"/>
      </patternFill>
    </fill>
    <fill>
      <patternFill patternType="solid">
        <fgColor rgb="FF616A6B"/>
        <bgColor rgb="FF666666"/>
      </patternFill>
    </fill>
    <fill>
      <patternFill patternType="solid">
        <fgColor rgb="FF2C3E50"/>
        <bgColor rgb="FF154360"/>
      </patternFill>
    </fill>
    <fill>
      <patternFill patternType="solid">
        <fgColor rgb="FFE67E22"/>
        <bgColor rgb="FFFF9900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FF9C4"/>
      </patternFill>
    </fill>
    <fill>
      <patternFill patternType="solid">
        <fgColor rgb="FFFADBD8"/>
        <bgColor rgb="FFFDEBD0"/>
      </patternFill>
    </fill>
    <fill>
      <patternFill patternType="solid">
        <fgColor rgb="FFC9A84C"/>
        <bgColor rgb="FFE67E22"/>
      </patternFill>
    </fill>
    <fill>
      <patternFill patternType="solid">
        <fgColor rgb="FF1B3A6B"/>
      </patternFill>
    </fill>
    <fill>
      <patternFill patternType="solid">
        <fgColor rgb="FF217346"/>
      </patternFill>
    </fill>
    <fill>
      <patternFill patternType="solid">
        <fgColor rgb="FF5B2D91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D6E4F7"/>
      </patternFill>
    </fill>
    <fill>
      <patternFill patternType="solid">
        <fgColor rgb="FFFEF9EC"/>
      </patternFill>
    </fill>
    <fill>
      <patternFill patternType="solid">
        <fgColor rgb="FFFFF9E6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3" fontId="6" fillId="15" borderId="1" xfId="0" applyNumberFormat="1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/>
    </xf>
    <xf numFmtId="3" fontId="6" fillId="23" borderId="1" xfId="0" applyNumberFormat="1" applyFont="1" applyFill="1" applyBorder="1" applyAlignment="1">
      <alignment horizontal="right" vertical="center"/>
    </xf>
    <xf numFmtId="3" fontId="6" fillId="15" borderId="1" xfId="0" applyNumberFormat="1" applyFont="1" applyFill="1" applyBorder="1" applyAlignment="1">
      <alignment horizontal="right" vertical="center"/>
    </xf>
    <xf numFmtId="3" fontId="6" fillId="24" borderId="1" xfId="0" applyNumberFormat="1" applyFont="1" applyFill="1" applyBorder="1" applyAlignment="1">
      <alignment horizontal="right" vertical="center"/>
    </xf>
    <xf numFmtId="3" fontId="6" fillId="25" borderId="1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3" fontId="5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10" fillId="13" borderId="1" xfId="0" applyFont="1" applyFill="1" applyBorder="1" applyAlignment="1">
      <alignment horizontal="center" vertical="center"/>
    </xf>
    <xf numFmtId="3" fontId="6" fillId="11" borderId="1" xfId="0" applyNumberFormat="1" applyFont="1" applyFill="1" applyBorder="1" applyAlignment="1">
      <alignment horizontal="right" vertical="center"/>
    </xf>
    <xf numFmtId="3" fontId="14" fillId="23" borderId="1" xfId="0" applyNumberFormat="1" applyFont="1" applyFill="1" applyBorder="1" applyAlignment="1">
      <alignment horizontal="right" vertical="center"/>
    </xf>
    <xf numFmtId="3" fontId="14" fillId="25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right" vertical="center"/>
    </xf>
    <xf numFmtId="3" fontId="5" fillId="12" borderId="0" xfId="0" applyNumberFormat="1" applyFont="1" applyFill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9" fillId="12" borderId="1" xfId="0" applyFont="1" applyFill="1" applyBorder="1" applyAlignment="1">
      <alignment horizontal="center" vertical="center"/>
    </xf>
    <xf numFmtId="14" fontId="19" fillId="12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>
      <alignment horizontal="center" vertical="center"/>
    </xf>
    <xf numFmtId="164" fontId="19" fillId="12" borderId="1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6" fillId="13" borderId="0" xfId="0" applyFont="1" applyFill="1" applyAlignment="1">
      <alignment horizontal="right" vertical="center"/>
    </xf>
    <xf numFmtId="3" fontId="6" fillId="13" borderId="0" xfId="0" applyNumberFormat="1" applyFont="1" applyFill="1" applyAlignment="1">
      <alignment horizontal="right" vertical="center"/>
    </xf>
    <xf numFmtId="0" fontId="0" fillId="11" borderId="0" xfId="0" applyFill="1" applyAlignment="1">
      <alignment horizontal="center"/>
    </xf>
    <xf numFmtId="0" fontId="6" fillId="11" borderId="0" xfId="0" applyFont="1" applyFill="1" applyAlignment="1">
      <alignment horizontal="right" vertical="center"/>
    </xf>
    <xf numFmtId="3" fontId="6" fillId="11" borderId="0" xfId="0" applyNumberFormat="1" applyFont="1" applyFill="1" applyAlignment="1">
      <alignment horizontal="right" vertical="center"/>
    </xf>
    <xf numFmtId="0" fontId="11" fillId="4" borderId="1" xfId="0" applyFont="1" applyFill="1" applyBorder="1" applyAlignment="1">
      <alignment horizontal="center" vertical="center" wrapText="1"/>
    </xf>
    <xf numFmtId="3" fontId="17" fillId="23" borderId="1" xfId="0" applyNumberFormat="1" applyFont="1" applyFill="1" applyBorder="1" applyAlignment="1">
      <alignment horizontal="right" vertical="center"/>
    </xf>
    <xf numFmtId="16" fontId="12" fillId="21" borderId="1" xfId="0" applyNumberFormat="1" applyFont="1" applyFill="1" applyBorder="1" applyAlignment="1">
      <alignment horizontal="center" vertical="center" wrapText="1"/>
    </xf>
    <xf numFmtId="0" fontId="23" fillId="27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23" fillId="29" borderId="2" xfId="0" applyFont="1" applyFill="1" applyBorder="1" applyAlignment="1">
      <alignment horizontal="center" vertical="center"/>
    </xf>
    <xf numFmtId="0" fontId="23" fillId="30" borderId="2" xfId="0" applyFont="1" applyFill="1" applyBorder="1" applyAlignment="1">
      <alignment horizontal="center" vertical="center"/>
    </xf>
    <xf numFmtId="0" fontId="23" fillId="31" borderId="2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center" vertical="center"/>
    </xf>
    <xf numFmtId="0" fontId="23" fillId="37" borderId="2" xfId="0" applyFont="1" applyFill="1" applyBorder="1" applyAlignment="1">
      <alignment horizontal="center" vertical="center"/>
    </xf>
    <xf numFmtId="0" fontId="23" fillId="38" borderId="2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5" fontId="21" fillId="3" borderId="0" xfId="0" applyNumberFormat="1" applyFont="1" applyFill="1" applyAlignment="1">
      <alignment horizontal="center" vertical="center"/>
    </xf>
    <xf numFmtId="165" fontId="21" fillId="4" borderId="0" xfId="0" applyNumberFormat="1" applyFont="1" applyFill="1" applyAlignment="1">
      <alignment horizontal="center" vertical="center"/>
    </xf>
    <xf numFmtId="165" fontId="21" fillId="5" borderId="0" xfId="0" applyNumberFormat="1" applyFont="1" applyFill="1" applyAlignment="1">
      <alignment horizontal="center" vertical="center"/>
    </xf>
    <xf numFmtId="165" fontId="21" fillId="6" borderId="0" xfId="0" applyNumberFormat="1" applyFont="1" applyFill="1" applyAlignment="1">
      <alignment horizontal="center" vertical="center"/>
    </xf>
    <xf numFmtId="0" fontId="0" fillId="26" borderId="0" xfId="0" applyFill="1"/>
    <xf numFmtId="0" fontId="3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1" fontId="21" fillId="2" borderId="0" xfId="0" applyNumberFormat="1" applyFont="1" applyFill="1" applyAlignment="1">
      <alignment horizontal="center" vertical="center"/>
    </xf>
    <xf numFmtId="164" fontId="21" fillId="8" borderId="0" xfId="0" applyNumberFormat="1" applyFont="1" applyFill="1" applyAlignment="1">
      <alignment horizontal="center" vertical="center"/>
    </xf>
    <xf numFmtId="165" fontId="21" fillId="7" borderId="0" xfId="0" applyNumberFormat="1" applyFont="1" applyFill="1" applyAlignment="1">
      <alignment horizontal="center" vertical="center"/>
    </xf>
    <xf numFmtId="165" fontId="21" fillId="22" borderId="0" xfId="0" applyNumberFormat="1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6" fillId="34" borderId="0" xfId="0" applyFont="1" applyFill="1" applyAlignment="1">
      <alignment horizontal="center" vertical="center" wrapText="1"/>
    </xf>
    <xf numFmtId="0" fontId="25" fillId="34" borderId="0" xfId="0" applyFont="1" applyFill="1" applyAlignment="1">
      <alignment horizontal="center" vertical="center" wrapText="1"/>
    </xf>
    <xf numFmtId="0" fontId="28" fillId="27" borderId="0" xfId="0" applyFont="1" applyFill="1" applyAlignment="1">
      <alignment horizontal="center" vertical="center"/>
    </xf>
    <xf numFmtId="0" fontId="0" fillId="0" borderId="0" xfId="0"/>
    <xf numFmtId="0" fontId="30" fillId="27" borderId="0" xfId="0" applyFont="1" applyFill="1" applyAlignment="1">
      <alignment horizontal="center" vertical="center"/>
    </xf>
    <xf numFmtId="0" fontId="31" fillId="27" borderId="0" xfId="0" applyFont="1" applyFill="1" applyAlignment="1">
      <alignment horizontal="center" vertical="center" wrapText="1"/>
    </xf>
    <xf numFmtId="0" fontId="0" fillId="27" borderId="0" xfId="0" applyFill="1"/>
    <xf numFmtId="0" fontId="24" fillId="32" borderId="0" xfId="0" applyFont="1" applyFill="1" applyAlignment="1">
      <alignment horizontal="left" vertical="center" wrapText="1"/>
    </xf>
    <xf numFmtId="0" fontId="24" fillId="33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7" fillId="14" borderId="0" xfId="0" applyFont="1" applyFill="1" applyAlignment="1">
      <alignment vertical="center" wrapText="1"/>
    </xf>
    <xf numFmtId="0" fontId="8" fillId="11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right" vertical="center" wrapText="1"/>
    </xf>
    <xf numFmtId="0" fontId="6" fillId="11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4" fillId="1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DEBD0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00"/>
      <rgbColor rgb="FF00008B"/>
      <rgbColor rgb="FF555555"/>
      <rgbColor rgb="FF800080"/>
      <rgbColor rgb="FF1E7D46"/>
      <rgbColor rgb="FFCCCCCC"/>
      <rgbColor rgb="FF666666"/>
      <rgbColor rgb="FF9999FF"/>
      <rgbColor rgb="FF6E2F8C"/>
      <rgbColor rgb="FFFFF9C4"/>
      <rgbColor rgb="FFD6EAF8"/>
      <rgbColor rgb="FF660066"/>
      <rgbColor rgb="FFFF8080"/>
      <rgbColor rgb="FF1A5276"/>
      <rgbColor rgb="FFF2F2F2"/>
      <rgbColor rgb="FF1B2A4A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EBF5FB"/>
      <rgbColor rgb="FFD5F5E3"/>
      <rgbColor rgb="FFFDEBD0"/>
      <rgbColor rgb="FF99CCFF"/>
      <rgbColor rgb="FFFF99CC"/>
      <rgbColor rgb="FFCC99FF"/>
      <rgbColor rgb="FFFADBD8"/>
      <rgbColor rgb="FF1B4F72"/>
      <rgbColor rgb="FF33CCCC"/>
      <rgbColor rgb="FF99CC00"/>
      <rgbColor rgb="FFFFCC00"/>
      <rgbColor rgb="FFFF9900"/>
      <rgbColor rgb="FFE67E22"/>
      <rgbColor rgb="FF616A6B"/>
      <rgbColor rgb="FFC9A84C"/>
      <rgbColor rgb="FF154360"/>
      <rgbColor rgb="FF145A32"/>
      <rgbColor rgb="FF17202A"/>
      <rgbColor rgb="FF444444"/>
      <rgbColor rgb="FF784212"/>
      <rgbColor rgb="FFC0392B"/>
      <rgbColor rgb="FF4A235A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</xdr:rowOff>
    </xdr:from>
    <xdr:to>
      <xdr:col>1</xdr:col>
      <xdr:colOff>967739</xdr:colOff>
      <xdr:row>4</xdr:row>
      <xdr:rowOff>15241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D29195-9551-44C7-BFED-B7CFE1C2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"/>
          <a:ext cx="1920239" cy="1905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9</xdr:col>
      <xdr:colOff>571499</xdr:colOff>
      <xdr:row>0</xdr:row>
      <xdr:rowOff>0</xdr:rowOff>
    </xdr:from>
    <xdr:to>
      <xdr:col>10</xdr:col>
      <xdr:colOff>7620</xdr:colOff>
      <xdr:row>3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8635365-3BAC-4642-BC88-F1ED44EE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4379" y="0"/>
          <a:ext cx="1851661" cy="18821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A9F6AA-0626-4117-98E7-0B002F20DDB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J24"/>
  <sheetViews>
    <sheetView showGridLines="0" topLeftCell="A3" zoomScaleNormal="100" workbookViewId="0">
      <selection activeCell="B6" sqref="B6"/>
    </sheetView>
  </sheetViews>
  <sheetFormatPr baseColWidth="10" defaultColWidth="8.88671875" defaultRowHeight="14.4" x14ac:dyDescent="0.3"/>
  <cols>
    <col min="1" max="1" width="14" customWidth="1"/>
    <col min="2" max="2" width="25.21875" customWidth="1"/>
    <col min="3" max="3" width="14" customWidth="1"/>
    <col min="4" max="4" width="24.44140625" customWidth="1"/>
    <col min="5" max="5" width="14" customWidth="1"/>
    <col min="6" max="6" width="23.109375" customWidth="1"/>
    <col min="7" max="7" width="14" customWidth="1"/>
    <col min="8" max="8" width="24.6640625" customWidth="1"/>
    <col min="9" max="9" width="15.88671875" customWidth="1"/>
    <col min="10" max="10" width="35.21875" customWidth="1"/>
  </cols>
  <sheetData>
    <row r="1" spans="1:10" ht="64.8" customHeight="1" x14ac:dyDescent="0.3">
      <c r="A1" s="94" t="s">
        <v>1290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38.4" customHeight="1" x14ac:dyDescent="0.3">
      <c r="A2" s="96" t="s">
        <v>1283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30" customHeight="1" x14ac:dyDescent="0.3">
      <c r="A3" s="97" t="s">
        <v>1284</v>
      </c>
      <c r="B3" s="95"/>
      <c r="C3" s="95"/>
      <c r="D3" s="95"/>
      <c r="E3" s="95"/>
      <c r="F3" s="95"/>
      <c r="G3" s="95"/>
      <c r="H3" s="95"/>
      <c r="I3" s="95"/>
      <c r="J3" s="95"/>
    </row>
    <row r="4" spans="1:10" ht="15.75" customHeight="1" x14ac:dyDescent="0.3">
      <c r="A4" s="98"/>
      <c r="B4" s="95"/>
      <c r="C4" s="95"/>
      <c r="D4" s="95"/>
      <c r="E4" s="95"/>
      <c r="F4" s="95"/>
      <c r="G4" s="95"/>
      <c r="H4" s="95"/>
      <c r="I4" s="95"/>
      <c r="J4" s="95"/>
    </row>
    <row r="5" spans="1:10" ht="18" customHeight="1" thickBot="1" x14ac:dyDescent="0.35"/>
    <row r="6" spans="1:10" ht="28.2" customHeight="1" thickBot="1" x14ac:dyDescent="0.35">
      <c r="B6" s="59" t="s">
        <v>1288</v>
      </c>
      <c r="D6" s="60" t="s">
        <v>1</v>
      </c>
      <c r="F6" s="65" t="s">
        <v>1289</v>
      </c>
      <c r="H6" s="61" t="s">
        <v>4</v>
      </c>
      <c r="J6" s="67" t="s">
        <v>6</v>
      </c>
    </row>
    <row r="7" spans="1:10" ht="19.8" customHeight="1" thickBot="1" x14ac:dyDescent="0.35"/>
    <row r="8" spans="1:10" ht="30.6" customHeight="1" thickBot="1" x14ac:dyDescent="0.35">
      <c r="B8" s="64" t="s">
        <v>0</v>
      </c>
      <c r="D8" s="61" t="s">
        <v>2</v>
      </c>
      <c r="F8" s="62" t="s">
        <v>3</v>
      </c>
      <c r="H8" s="66" t="s">
        <v>5</v>
      </c>
      <c r="J8" s="63" t="s">
        <v>7</v>
      </c>
    </row>
    <row r="10" spans="1:10" ht="27.6" customHeight="1" x14ac:dyDescent="0.3"/>
    <row r="11" spans="1:10" ht="27.75" customHeight="1" x14ac:dyDescent="0.3">
      <c r="B11" s="99" t="s">
        <v>1285</v>
      </c>
      <c r="C11" s="99"/>
      <c r="D11" s="99"/>
      <c r="E11" s="99"/>
      <c r="F11" s="100" t="s">
        <v>1286</v>
      </c>
      <c r="G11" s="95"/>
      <c r="H11" s="95"/>
      <c r="I11" s="95"/>
      <c r="J11" s="95"/>
    </row>
    <row r="12" spans="1:10" ht="14.4" customHeight="1" x14ac:dyDescent="0.3">
      <c r="B12" s="99"/>
      <c r="C12" s="99"/>
      <c r="D12" s="99"/>
      <c r="E12" s="99"/>
      <c r="F12" s="95"/>
      <c r="G12" s="95"/>
      <c r="H12" s="95"/>
      <c r="I12" s="95"/>
      <c r="J12" s="95"/>
    </row>
    <row r="13" spans="1:10" ht="44.4" customHeight="1" x14ac:dyDescent="0.3">
      <c r="B13" s="99"/>
      <c r="C13" s="99"/>
      <c r="D13" s="99"/>
      <c r="E13" s="99"/>
      <c r="F13" s="95"/>
      <c r="G13" s="95"/>
      <c r="H13" s="95"/>
      <c r="I13" s="95"/>
      <c r="J13" s="95"/>
    </row>
    <row r="14" spans="1:10" ht="27.75" customHeight="1" x14ac:dyDescent="0.3"/>
    <row r="16" spans="1:10" ht="27.75" customHeight="1" x14ac:dyDescent="0.3">
      <c r="B16" s="92" t="s">
        <v>1287</v>
      </c>
      <c r="C16" s="93"/>
      <c r="D16" s="93"/>
      <c r="E16" s="93"/>
      <c r="F16" s="93"/>
      <c r="G16" s="93"/>
      <c r="H16" s="93"/>
      <c r="I16" s="93"/>
      <c r="J16" s="93"/>
    </row>
    <row r="17" spans="2:10" ht="27.75" customHeight="1" x14ac:dyDescent="0.3">
      <c r="B17" s="93"/>
      <c r="C17" s="93"/>
      <c r="D17" s="93"/>
      <c r="E17" s="93"/>
      <c r="F17" s="93"/>
      <c r="G17" s="93"/>
      <c r="H17" s="93"/>
      <c r="I17" s="93"/>
      <c r="J17" s="93"/>
    </row>
    <row r="19" spans="2:10" ht="27.75" customHeight="1" x14ac:dyDescent="0.3"/>
    <row r="20" spans="2:10" ht="27.75" customHeight="1" x14ac:dyDescent="0.3"/>
    <row r="24" spans="2:10" ht="30" customHeight="1" x14ac:dyDescent="0.3"/>
  </sheetData>
  <sheetProtection algorithmName="SHA-512" hashValue="14r4nBFXZWqZiTZTYRZuUq7gUEFLGMMqRJOm8vDKuCR8AXRRlyOaMCuJFOaf4ifgD9DZOt9G1ZYpF1Ub4PHRMA==" saltValue="AwAPFZfr1HS6RSf4LPTGFg==" spinCount="100000" sheet="1" formatCells="0" formatColumns="0" formatRows="0" insertColumns="0" insertRows="0" insertHyperlinks="0" deleteColumns="0" deleteRows="0" sort="0" autoFilter="0" pivotTables="0"/>
  <mergeCells count="7">
    <mergeCell ref="B16:J17"/>
    <mergeCell ref="A1:J1"/>
    <mergeCell ref="A2:J2"/>
    <mergeCell ref="A3:J3"/>
    <mergeCell ref="A4:J4"/>
    <mergeCell ref="B11:E13"/>
    <mergeCell ref="F11:J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E14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baseColWidth="10" defaultColWidth="8.6640625" defaultRowHeight="14.4" x14ac:dyDescent="0.3"/>
  <cols>
    <col min="1" max="1" width="35" customWidth="1"/>
    <col min="2" max="2" width="18" customWidth="1"/>
    <col min="3" max="3" width="12" customWidth="1"/>
    <col min="4" max="4" width="42" customWidth="1"/>
    <col min="5" max="5" width="18" customWidth="1"/>
  </cols>
  <sheetData>
    <row r="1" spans="1:5" ht="31.5" customHeight="1" x14ac:dyDescent="0.3">
      <c r="A1" s="101" t="s">
        <v>8</v>
      </c>
      <c r="B1" s="101"/>
      <c r="C1" s="101"/>
      <c r="D1" s="101"/>
      <c r="E1" s="101"/>
    </row>
    <row r="2" spans="1:5" ht="19.5" customHeight="1" x14ac:dyDescent="0.3"/>
    <row r="3" spans="1:5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3">
      <c r="A4" s="2" t="s">
        <v>14</v>
      </c>
      <c r="B4" s="3">
        <v>0.1</v>
      </c>
      <c r="C4" s="70" t="s">
        <v>15</v>
      </c>
      <c r="D4" s="5" t="s">
        <v>16</v>
      </c>
      <c r="E4" s="6" t="s">
        <v>17</v>
      </c>
    </row>
    <row r="5" spans="1:5" x14ac:dyDescent="0.3">
      <c r="A5" s="7" t="s">
        <v>18</v>
      </c>
      <c r="B5" s="3">
        <v>1.4999999999999999E-2</v>
      </c>
      <c r="C5" s="8" t="s">
        <v>15</v>
      </c>
      <c r="D5" s="9" t="s">
        <v>19</v>
      </c>
      <c r="E5" s="6" t="s">
        <v>17</v>
      </c>
    </row>
    <row r="6" spans="1:5" x14ac:dyDescent="0.3">
      <c r="A6" s="2" t="s">
        <v>20</v>
      </c>
      <c r="B6" s="6">
        <v>500</v>
      </c>
      <c r="C6" s="4" t="s">
        <v>21</v>
      </c>
      <c r="D6" s="5" t="s">
        <v>22</v>
      </c>
      <c r="E6" s="6" t="s">
        <v>17</v>
      </c>
    </row>
    <row r="7" spans="1:5" x14ac:dyDescent="0.3">
      <c r="A7" s="7" t="s">
        <v>23</v>
      </c>
      <c r="B7" s="6">
        <v>2500</v>
      </c>
      <c r="C7" s="8" t="s">
        <v>21</v>
      </c>
      <c r="D7" s="9" t="s">
        <v>24</v>
      </c>
      <c r="E7" s="6" t="s">
        <v>17</v>
      </c>
    </row>
    <row r="8" spans="1:5" x14ac:dyDescent="0.3">
      <c r="A8" s="2" t="s">
        <v>25</v>
      </c>
      <c r="B8" s="6">
        <v>100</v>
      </c>
      <c r="C8" s="4" t="s">
        <v>21</v>
      </c>
      <c r="D8" s="5" t="s">
        <v>26</v>
      </c>
      <c r="E8" s="6" t="s">
        <v>17</v>
      </c>
    </row>
    <row r="9" spans="1:5" x14ac:dyDescent="0.3">
      <c r="A9" s="7" t="s">
        <v>27</v>
      </c>
      <c r="B9" s="6">
        <v>500</v>
      </c>
      <c r="C9" s="8" t="s">
        <v>21</v>
      </c>
      <c r="D9" s="9" t="s">
        <v>28</v>
      </c>
      <c r="E9" s="6" t="s">
        <v>17</v>
      </c>
    </row>
    <row r="10" spans="1:5" x14ac:dyDescent="0.3">
      <c r="A10" s="2" t="s">
        <v>29</v>
      </c>
      <c r="B10" s="3">
        <v>0.02</v>
      </c>
      <c r="C10" s="4" t="s">
        <v>15</v>
      </c>
      <c r="D10" s="5" t="s">
        <v>30</v>
      </c>
      <c r="E10" s="6" t="s">
        <v>17</v>
      </c>
    </row>
    <row r="11" spans="1:5" x14ac:dyDescent="0.3">
      <c r="A11" s="7" t="s">
        <v>31</v>
      </c>
      <c r="B11" s="6">
        <v>2</v>
      </c>
      <c r="C11" s="8" t="s">
        <v>32</v>
      </c>
      <c r="D11" s="9" t="s">
        <v>33</v>
      </c>
      <c r="E11" s="6" t="s">
        <v>17</v>
      </c>
    </row>
    <row r="12" spans="1:5" x14ac:dyDescent="0.3">
      <c r="A12" s="2" t="s">
        <v>34</v>
      </c>
      <c r="B12" s="6">
        <v>50</v>
      </c>
      <c r="C12" s="4" t="s">
        <v>35</v>
      </c>
      <c r="D12" s="5" t="s">
        <v>36</v>
      </c>
      <c r="E12" s="6" t="s">
        <v>17</v>
      </c>
    </row>
    <row r="13" spans="1:5" x14ac:dyDescent="0.3">
      <c r="A13" s="7" t="s">
        <v>37</v>
      </c>
      <c r="B13" s="6">
        <v>2027</v>
      </c>
      <c r="C13" s="8" t="s">
        <v>38</v>
      </c>
      <c r="D13" s="9" t="s">
        <v>39</v>
      </c>
      <c r="E13" s="6" t="s">
        <v>17</v>
      </c>
    </row>
    <row r="14" spans="1:5" ht="36" customHeight="1" x14ac:dyDescent="0.3">
      <c r="A14" s="102" t="s">
        <v>40</v>
      </c>
      <c r="B14" s="102"/>
      <c r="C14" s="102"/>
      <c r="D14" s="102"/>
      <c r="E14" s="102"/>
    </row>
  </sheetData>
  <mergeCells count="2">
    <mergeCell ref="A1:E1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A1:O54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sqref="A1:O1"/>
    </sheetView>
  </sheetViews>
  <sheetFormatPr baseColWidth="10" defaultColWidth="8.6640625" defaultRowHeight="14.4" x14ac:dyDescent="0.3"/>
  <cols>
    <col min="1" max="1" width="14" customWidth="1"/>
    <col min="2" max="2" width="18" customWidth="1"/>
    <col min="3" max="3" width="22" customWidth="1"/>
    <col min="4" max="4" width="16" customWidth="1"/>
    <col min="5" max="5" width="26" customWidth="1"/>
    <col min="6" max="6" width="8" customWidth="1"/>
    <col min="7" max="9" width="16" customWidth="1"/>
    <col min="10" max="10" width="14" customWidth="1"/>
    <col min="11" max="11" width="16" customWidth="1"/>
    <col min="12" max="14" width="14" customWidth="1"/>
    <col min="15" max="15" width="16" customWidth="1"/>
  </cols>
  <sheetData>
    <row r="1" spans="1:15" ht="31.2" customHeight="1" x14ac:dyDescent="0.3">
      <c r="A1" s="101" t="s">
        <v>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15" x14ac:dyDescent="0.3">
      <c r="A2" s="103" t="e">
        <f ca="1">COUNTA(B5:B54)&amp;" membres enregistrés | Mis à jour le "&amp;TEXT(TODAY(),"DD/MM/YYYY")</f>
        <v>#VALUE!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 ht="9.75" customHeight="1" x14ac:dyDescent="0.3"/>
    <row r="4" spans="1:15" ht="36" customHeigh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</row>
    <row r="5" spans="1:15" ht="19.5" customHeight="1" x14ac:dyDescent="0.3">
      <c r="A5" s="10" t="s">
        <v>57</v>
      </c>
      <c r="B5" s="11"/>
      <c r="C5" s="11"/>
      <c r="D5" s="11"/>
      <c r="E5" s="11"/>
      <c r="F5" s="11"/>
      <c r="G5" s="11"/>
      <c r="H5" s="11"/>
      <c r="I5" s="11"/>
      <c r="J5" s="11" t="s">
        <v>58</v>
      </c>
      <c r="K5" s="11"/>
      <c r="L5" s="11"/>
      <c r="M5" s="11"/>
      <c r="N5" s="11"/>
      <c r="O5" s="11"/>
    </row>
    <row r="6" spans="1:15" ht="19.5" customHeight="1" x14ac:dyDescent="0.3">
      <c r="A6" s="10" t="s">
        <v>59</v>
      </c>
      <c r="B6" s="12"/>
      <c r="C6" s="12"/>
      <c r="D6" s="12"/>
      <c r="E6" s="12"/>
      <c r="F6" s="12"/>
      <c r="G6" s="12"/>
      <c r="H6" s="12"/>
      <c r="I6" s="12"/>
      <c r="J6" s="12" t="s">
        <v>58</v>
      </c>
      <c r="K6" s="12"/>
      <c r="L6" s="12"/>
      <c r="M6" s="12"/>
      <c r="N6" s="12"/>
      <c r="O6" s="12"/>
    </row>
    <row r="7" spans="1:15" ht="19.5" customHeight="1" x14ac:dyDescent="0.3">
      <c r="A7" s="10" t="s">
        <v>60</v>
      </c>
      <c r="B7" s="11"/>
      <c r="C7" s="11"/>
      <c r="D7" s="11"/>
      <c r="E7" s="11"/>
      <c r="F7" s="11"/>
      <c r="G7" s="11"/>
      <c r="H7" s="11"/>
      <c r="I7" s="11"/>
      <c r="J7" s="11" t="s">
        <v>58</v>
      </c>
      <c r="K7" s="11"/>
      <c r="L7" s="11"/>
      <c r="M7" s="11"/>
      <c r="N7" s="11"/>
      <c r="O7" s="11"/>
    </row>
    <row r="8" spans="1:15" ht="19.5" customHeight="1" x14ac:dyDescent="0.3">
      <c r="A8" s="10" t="s">
        <v>61</v>
      </c>
      <c r="B8" s="12"/>
      <c r="C8" s="12"/>
      <c r="D8" s="12"/>
      <c r="E8" s="12"/>
      <c r="F8" s="12"/>
      <c r="G8" s="12"/>
      <c r="H8" s="12"/>
      <c r="I8" s="12"/>
      <c r="J8" s="12" t="s">
        <v>58</v>
      </c>
      <c r="K8" s="12"/>
      <c r="L8" s="12"/>
      <c r="M8" s="12"/>
      <c r="N8" s="12"/>
      <c r="O8" s="12"/>
    </row>
    <row r="9" spans="1:15" ht="19.5" customHeight="1" x14ac:dyDescent="0.3">
      <c r="A9" s="10" t="s">
        <v>62</v>
      </c>
      <c r="B9" s="11"/>
      <c r="C9" s="11"/>
      <c r="D9" s="11"/>
      <c r="E9" s="11"/>
      <c r="F9" s="11"/>
      <c r="G9" s="11"/>
      <c r="H9" s="11"/>
      <c r="I9" s="11"/>
      <c r="J9" s="11" t="s">
        <v>58</v>
      </c>
      <c r="K9" s="11"/>
      <c r="L9" s="11"/>
      <c r="M9" s="11"/>
      <c r="N9" s="11"/>
      <c r="O9" s="11"/>
    </row>
    <row r="10" spans="1:15" ht="19.5" customHeight="1" x14ac:dyDescent="0.3">
      <c r="A10" s="10" t="s">
        <v>63</v>
      </c>
      <c r="B10" s="12"/>
      <c r="C10" s="12"/>
      <c r="D10" s="12"/>
      <c r="E10" s="12"/>
      <c r="F10" s="12"/>
      <c r="G10" s="12"/>
      <c r="H10" s="12"/>
      <c r="I10" s="12"/>
      <c r="J10" s="12" t="s">
        <v>58</v>
      </c>
      <c r="K10" s="12"/>
      <c r="L10" s="12"/>
      <c r="M10" s="12"/>
      <c r="N10" s="12"/>
      <c r="O10" s="12"/>
    </row>
    <row r="11" spans="1:15" ht="19.5" customHeight="1" x14ac:dyDescent="0.3">
      <c r="A11" s="10" t="s">
        <v>64</v>
      </c>
      <c r="B11" s="11"/>
      <c r="C11" s="11"/>
      <c r="D11" s="11"/>
      <c r="E11" s="11"/>
      <c r="F11" s="11"/>
      <c r="G11" s="11"/>
      <c r="H11" s="11"/>
      <c r="I11" s="11"/>
      <c r="J11" s="11" t="s">
        <v>58</v>
      </c>
      <c r="K11" s="11"/>
      <c r="L11" s="11"/>
      <c r="M11" s="11"/>
      <c r="N11" s="11"/>
      <c r="O11" s="11"/>
    </row>
    <row r="12" spans="1:15" ht="19.5" customHeight="1" x14ac:dyDescent="0.3">
      <c r="A12" s="10" t="s">
        <v>65</v>
      </c>
      <c r="B12" s="12"/>
      <c r="C12" s="12"/>
      <c r="D12" s="12"/>
      <c r="E12" s="12"/>
      <c r="F12" s="12"/>
      <c r="G12" s="12"/>
      <c r="H12" s="12"/>
      <c r="I12" s="12"/>
      <c r="J12" s="12" t="s">
        <v>58</v>
      </c>
      <c r="K12" s="12"/>
      <c r="L12" s="12"/>
      <c r="M12" s="12"/>
      <c r="N12" s="12"/>
      <c r="O12" s="12"/>
    </row>
    <row r="13" spans="1:15" ht="19.5" customHeight="1" x14ac:dyDescent="0.3">
      <c r="A13" s="10" t="s">
        <v>66</v>
      </c>
      <c r="B13" s="11"/>
      <c r="C13" s="11"/>
      <c r="D13" s="11"/>
      <c r="E13" s="11"/>
      <c r="F13" s="11"/>
      <c r="G13" s="11"/>
      <c r="H13" s="11"/>
      <c r="I13" s="11"/>
      <c r="J13" s="11" t="s">
        <v>58</v>
      </c>
      <c r="K13" s="11"/>
      <c r="L13" s="11"/>
      <c r="M13" s="11"/>
      <c r="N13" s="11"/>
      <c r="O13" s="11"/>
    </row>
    <row r="14" spans="1:15" ht="19.5" customHeight="1" x14ac:dyDescent="0.3">
      <c r="A14" s="10" t="s">
        <v>67</v>
      </c>
      <c r="B14" s="12"/>
      <c r="C14" s="12"/>
      <c r="D14" s="12"/>
      <c r="E14" s="12"/>
      <c r="F14" s="12"/>
      <c r="G14" s="12"/>
      <c r="H14" s="12"/>
      <c r="I14" s="12"/>
      <c r="J14" s="12" t="s">
        <v>58</v>
      </c>
      <c r="K14" s="12"/>
      <c r="L14" s="12"/>
      <c r="M14" s="12"/>
      <c r="N14" s="12"/>
      <c r="O14" s="12"/>
    </row>
    <row r="15" spans="1:15" ht="19.5" customHeight="1" x14ac:dyDescent="0.3">
      <c r="A15" s="10" t="s">
        <v>68</v>
      </c>
      <c r="B15" s="11"/>
      <c r="C15" s="11"/>
      <c r="D15" s="11"/>
      <c r="E15" s="11"/>
      <c r="F15" s="11"/>
      <c r="G15" s="11"/>
      <c r="H15" s="11"/>
      <c r="I15" s="11"/>
      <c r="J15" s="11" t="s">
        <v>58</v>
      </c>
      <c r="K15" s="11"/>
      <c r="L15" s="11"/>
      <c r="M15" s="11"/>
      <c r="N15" s="11"/>
      <c r="O15" s="11"/>
    </row>
    <row r="16" spans="1:15" ht="19.5" customHeight="1" x14ac:dyDescent="0.3">
      <c r="A16" s="10" t="s">
        <v>69</v>
      </c>
      <c r="B16" s="12"/>
      <c r="C16" s="12"/>
      <c r="D16" s="12"/>
      <c r="E16" s="12"/>
      <c r="F16" s="12"/>
      <c r="G16" s="12"/>
      <c r="H16" s="12"/>
      <c r="I16" s="12"/>
      <c r="J16" s="12" t="s">
        <v>58</v>
      </c>
      <c r="K16" s="12"/>
      <c r="L16" s="12"/>
      <c r="M16" s="12"/>
      <c r="N16" s="12"/>
      <c r="O16" s="12"/>
    </row>
    <row r="17" spans="1:15" ht="19.5" customHeight="1" x14ac:dyDescent="0.3">
      <c r="A17" s="10" t="s">
        <v>70</v>
      </c>
      <c r="B17" s="11"/>
      <c r="C17" s="11"/>
      <c r="D17" s="11"/>
      <c r="E17" s="11"/>
      <c r="F17" s="11"/>
      <c r="G17" s="11"/>
      <c r="H17" s="11"/>
      <c r="I17" s="11"/>
      <c r="J17" s="11" t="s">
        <v>58</v>
      </c>
      <c r="K17" s="11"/>
      <c r="L17" s="11"/>
      <c r="M17" s="11"/>
      <c r="N17" s="11"/>
      <c r="O17" s="11"/>
    </row>
    <row r="18" spans="1:15" ht="19.5" customHeight="1" x14ac:dyDescent="0.3">
      <c r="A18" s="10" t="s">
        <v>71</v>
      </c>
      <c r="B18" s="12"/>
      <c r="C18" s="12"/>
      <c r="D18" s="12"/>
      <c r="E18" s="12"/>
      <c r="F18" s="12"/>
      <c r="G18" s="12"/>
      <c r="H18" s="12"/>
      <c r="I18" s="12"/>
      <c r="J18" s="12" t="s">
        <v>58</v>
      </c>
      <c r="K18" s="12"/>
      <c r="L18" s="12"/>
      <c r="M18" s="12"/>
      <c r="N18" s="12"/>
      <c r="O18" s="12"/>
    </row>
    <row r="19" spans="1:15" ht="19.5" customHeight="1" x14ac:dyDescent="0.3">
      <c r="A19" s="10" t="s">
        <v>72</v>
      </c>
      <c r="B19" s="11"/>
      <c r="C19" s="11"/>
      <c r="D19" s="11"/>
      <c r="E19" s="11"/>
      <c r="F19" s="11"/>
      <c r="G19" s="11"/>
      <c r="H19" s="11"/>
      <c r="I19" s="11"/>
      <c r="J19" s="11" t="s">
        <v>58</v>
      </c>
      <c r="K19" s="11"/>
      <c r="L19" s="11"/>
      <c r="M19" s="11"/>
      <c r="N19" s="11"/>
      <c r="O19" s="11"/>
    </row>
    <row r="20" spans="1:15" ht="19.5" customHeight="1" x14ac:dyDescent="0.3">
      <c r="A20" s="10" t="s">
        <v>73</v>
      </c>
      <c r="B20" s="12"/>
      <c r="C20" s="12"/>
      <c r="D20" s="12"/>
      <c r="E20" s="12"/>
      <c r="F20" s="12"/>
      <c r="G20" s="12"/>
      <c r="H20" s="12"/>
      <c r="I20" s="12"/>
      <c r="J20" s="12" t="s">
        <v>58</v>
      </c>
      <c r="K20" s="12"/>
      <c r="L20" s="12"/>
      <c r="M20" s="12"/>
      <c r="N20" s="12"/>
      <c r="O20" s="12"/>
    </row>
    <row r="21" spans="1:15" ht="19.5" customHeight="1" x14ac:dyDescent="0.3">
      <c r="A21" s="10" t="s">
        <v>74</v>
      </c>
      <c r="B21" s="11"/>
      <c r="C21" s="11"/>
      <c r="D21" s="11"/>
      <c r="E21" s="11"/>
      <c r="F21" s="11"/>
      <c r="G21" s="11"/>
      <c r="H21" s="11"/>
      <c r="I21" s="11"/>
      <c r="J21" s="11" t="s">
        <v>58</v>
      </c>
      <c r="K21" s="11"/>
      <c r="L21" s="11"/>
      <c r="M21" s="11"/>
      <c r="N21" s="11"/>
      <c r="O21" s="11"/>
    </row>
    <row r="22" spans="1:15" ht="19.5" customHeight="1" x14ac:dyDescent="0.3">
      <c r="A22" s="10" t="s">
        <v>75</v>
      </c>
      <c r="B22" s="12"/>
      <c r="C22" s="12"/>
      <c r="D22" s="12"/>
      <c r="E22" s="12"/>
      <c r="F22" s="12"/>
      <c r="G22" s="12"/>
      <c r="H22" s="12"/>
      <c r="I22" s="12"/>
      <c r="J22" s="12" t="s">
        <v>58</v>
      </c>
      <c r="K22" s="12"/>
      <c r="L22" s="12"/>
      <c r="M22" s="12"/>
      <c r="N22" s="12"/>
      <c r="O22" s="12"/>
    </row>
    <row r="23" spans="1:15" ht="19.5" customHeight="1" x14ac:dyDescent="0.3">
      <c r="A23" s="10" t="s">
        <v>76</v>
      </c>
      <c r="B23" s="11"/>
      <c r="C23" s="11"/>
      <c r="D23" s="11"/>
      <c r="E23" s="11"/>
      <c r="F23" s="11"/>
      <c r="G23" s="11"/>
      <c r="H23" s="11"/>
      <c r="I23" s="11"/>
      <c r="J23" s="11" t="s">
        <v>58</v>
      </c>
      <c r="K23" s="11"/>
      <c r="L23" s="11"/>
      <c r="M23" s="11"/>
      <c r="N23" s="11"/>
      <c r="O23" s="11"/>
    </row>
    <row r="24" spans="1:15" ht="19.5" customHeight="1" x14ac:dyDescent="0.3">
      <c r="A24" s="10" t="s">
        <v>77</v>
      </c>
      <c r="B24" s="12"/>
      <c r="C24" s="12"/>
      <c r="D24" s="12"/>
      <c r="E24" s="12"/>
      <c r="F24" s="12"/>
      <c r="G24" s="12"/>
      <c r="H24" s="12"/>
      <c r="I24" s="12"/>
      <c r="J24" s="12" t="s">
        <v>58</v>
      </c>
      <c r="K24" s="12"/>
      <c r="L24" s="12"/>
      <c r="M24" s="12"/>
      <c r="N24" s="12"/>
      <c r="O24" s="12"/>
    </row>
    <row r="25" spans="1:15" ht="19.5" customHeight="1" x14ac:dyDescent="0.3">
      <c r="A25" s="10" t="s">
        <v>78</v>
      </c>
      <c r="B25" s="11"/>
      <c r="C25" s="11"/>
      <c r="D25" s="11"/>
      <c r="E25" s="11"/>
      <c r="F25" s="11"/>
      <c r="G25" s="11"/>
      <c r="H25" s="11"/>
      <c r="I25" s="11"/>
      <c r="J25" s="11" t="s">
        <v>58</v>
      </c>
      <c r="K25" s="11"/>
      <c r="L25" s="11"/>
      <c r="M25" s="11"/>
      <c r="N25" s="11"/>
      <c r="O25" s="11"/>
    </row>
    <row r="26" spans="1:15" ht="19.5" customHeight="1" x14ac:dyDescent="0.3">
      <c r="A26" s="10" t="s">
        <v>79</v>
      </c>
      <c r="B26" s="12"/>
      <c r="C26" s="12"/>
      <c r="D26" s="12"/>
      <c r="E26" s="12"/>
      <c r="F26" s="12"/>
      <c r="G26" s="12"/>
      <c r="H26" s="12"/>
      <c r="I26" s="12"/>
      <c r="J26" s="12" t="s">
        <v>58</v>
      </c>
      <c r="K26" s="12"/>
      <c r="L26" s="12"/>
      <c r="M26" s="12"/>
      <c r="N26" s="12"/>
      <c r="O26" s="12"/>
    </row>
    <row r="27" spans="1:15" ht="19.5" customHeight="1" x14ac:dyDescent="0.3">
      <c r="A27" s="10" t="s">
        <v>80</v>
      </c>
      <c r="B27" s="11"/>
      <c r="C27" s="11"/>
      <c r="D27" s="11"/>
      <c r="E27" s="11"/>
      <c r="F27" s="11"/>
      <c r="G27" s="11"/>
      <c r="H27" s="11"/>
      <c r="I27" s="11"/>
      <c r="J27" s="11" t="s">
        <v>58</v>
      </c>
      <c r="K27" s="11"/>
      <c r="L27" s="11"/>
      <c r="M27" s="11"/>
      <c r="N27" s="11"/>
      <c r="O27" s="11"/>
    </row>
    <row r="28" spans="1:15" ht="19.5" customHeight="1" x14ac:dyDescent="0.3">
      <c r="A28" s="10" t="s">
        <v>81</v>
      </c>
      <c r="B28" s="12"/>
      <c r="C28" s="12"/>
      <c r="D28" s="12"/>
      <c r="E28" s="12"/>
      <c r="F28" s="12"/>
      <c r="G28" s="12"/>
      <c r="H28" s="12"/>
      <c r="I28" s="12"/>
      <c r="J28" s="12" t="s">
        <v>58</v>
      </c>
      <c r="K28" s="12"/>
      <c r="L28" s="12"/>
      <c r="M28" s="12"/>
      <c r="N28" s="12"/>
      <c r="O28" s="12"/>
    </row>
    <row r="29" spans="1:15" ht="19.5" customHeight="1" x14ac:dyDescent="0.3">
      <c r="A29" s="10" t="s">
        <v>82</v>
      </c>
      <c r="B29" s="11"/>
      <c r="C29" s="11"/>
      <c r="D29" s="11"/>
      <c r="E29" s="11"/>
      <c r="F29" s="11"/>
      <c r="G29" s="11"/>
      <c r="H29" s="11"/>
      <c r="I29" s="11"/>
      <c r="J29" s="11" t="s">
        <v>58</v>
      </c>
      <c r="K29" s="11"/>
      <c r="L29" s="11"/>
      <c r="M29" s="11"/>
      <c r="N29" s="11"/>
      <c r="O29" s="11"/>
    </row>
    <row r="30" spans="1:15" ht="19.5" customHeight="1" x14ac:dyDescent="0.3">
      <c r="A30" s="10" t="s">
        <v>83</v>
      </c>
      <c r="B30" s="12"/>
      <c r="C30" s="12"/>
      <c r="D30" s="12"/>
      <c r="E30" s="12"/>
      <c r="F30" s="12"/>
      <c r="G30" s="12"/>
      <c r="H30" s="12"/>
      <c r="I30" s="12"/>
      <c r="J30" s="12" t="s">
        <v>58</v>
      </c>
      <c r="K30" s="12"/>
      <c r="L30" s="12"/>
      <c r="M30" s="12"/>
      <c r="N30" s="12"/>
      <c r="O30" s="12"/>
    </row>
    <row r="31" spans="1:15" ht="19.5" customHeight="1" x14ac:dyDescent="0.3">
      <c r="A31" s="10" t="s">
        <v>84</v>
      </c>
      <c r="B31" s="11"/>
      <c r="C31" s="11"/>
      <c r="D31" s="11"/>
      <c r="E31" s="11"/>
      <c r="F31" s="11"/>
      <c r="G31" s="11"/>
      <c r="H31" s="11"/>
      <c r="I31" s="11"/>
      <c r="J31" s="11" t="s">
        <v>58</v>
      </c>
      <c r="K31" s="11"/>
      <c r="L31" s="11"/>
      <c r="M31" s="11"/>
      <c r="N31" s="11"/>
      <c r="O31" s="11"/>
    </row>
    <row r="32" spans="1:15" ht="19.5" customHeight="1" x14ac:dyDescent="0.3">
      <c r="A32" s="10" t="s">
        <v>85</v>
      </c>
      <c r="B32" s="12"/>
      <c r="C32" s="12"/>
      <c r="D32" s="12"/>
      <c r="E32" s="12"/>
      <c r="F32" s="12"/>
      <c r="G32" s="12"/>
      <c r="H32" s="12"/>
      <c r="I32" s="12"/>
      <c r="J32" s="12" t="s">
        <v>58</v>
      </c>
      <c r="K32" s="12"/>
      <c r="L32" s="12"/>
      <c r="M32" s="12"/>
      <c r="N32" s="12"/>
      <c r="O32" s="12"/>
    </row>
    <row r="33" spans="1:15" ht="19.5" customHeight="1" x14ac:dyDescent="0.3">
      <c r="A33" s="10" t="s">
        <v>86</v>
      </c>
      <c r="B33" s="11"/>
      <c r="C33" s="11"/>
      <c r="D33" s="11"/>
      <c r="E33" s="11"/>
      <c r="F33" s="11"/>
      <c r="G33" s="11"/>
      <c r="H33" s="11"/>
      <c r="I33" s="11"/>
      <c r="J33" s="11" t="s">
        <v>58</v>
      </c>
      <c r="K33" s="11"/>
      <c r="L33" s="11"/>
      <c r="M33" s="11"/>
      <c r="N33" s="11"/>
      <c r="O33" s="11"/>
    </row>
    <row r="34" spans="1:15" ht="19.5" customHeight="1" x14ac:dyDescent="0.3">
      <c r="A34" s="10" t="s">
        <v>87</v>
      </c>
      <c r="B34" s="12"/>
      <c r="C34" s="12"/>
      <c r="D34" s="12"/>
      <c r="E34" s="12"/>
      <c r="F34" s="12"/>
      <c r="G34" s="12"/>
      <c r="H34" s="12"/>
      <c r="I34" s="12"/>
      <c r="J34" s="12" t="s">
        <v>58</v>
      </c>
      <c r="K34" s="12"/>
      <c r="L34" s="12"/>
      <c r="M34" s="12"/>
      <c r="N34" s="12"/>
      <c r="O34" s="12"/>
    </row>
    <row r="35" spans="1:15" ht="19.5" customHeight="1" x14ac:dyDescent="0.3">
      <c r="A35" s="10" t="s">
        <v>88</v>
      </c>
      <c r="B35" s="11"/>
      <c r="C35" s="11"/>
      <c r="D35" s="11"/>
      <c r="E35" s="11"/>
      <c r="F35" s="11"/>
      <c r="G35" s="11"/>
      <c r="H35" s="11"/>
      <c r="I35" s="11"/>
      <c r="J35" s="11" t="s">
        <v>58</v>
      </c>
      <c r="K35" s="11"/>
      <c r="L35" s="11"/>
      <c r="M35" s="11"/>
      <c r="N35" s="11"/>
      <c r="O35" s="11"/>
    </row>
    <row r="36" spans="1:15" ht="19.5" customHeight="1" x14ac:dyDescent="0.3">
      <c r="A36" s="10" t="s">
        <v>89</v>
      </c>
      <c r="B36" s="12"/>
      <c r="C36" s="12"/>
      <c r="D36" s="12"/>
      <c r="E36" s="12"/>
      <c r="F36" s="12"/>
      <c r="G36" s="12"/>
      <c r="H36" s="12"/>
      <c r="I36" s="12"/>
      <c r="J36" s="12" t="s">
        <v>58</v>
      </c>
      <c r="K36" s="12"/>
      <c r="L36" s="12"/>
      <c r="M36" s="12"/>
      <c r="N36" s="12"/>
      <c r="O36" s="12"/>
    </row>
    <row r="37" spans="1:15" ht="19.5" customHeight="1" x14ac:dyDescent="0.3">
      <c r="A37" s="10" t="s">
        <v>90</v>
      </c>
      <c r="B37" s="11"/>
      <c r="C37" s="11"/>
      <c r="D37" s="11"/>
      <c r="E37" s="11"/>
      <c r="F37" s="11"/>
      <c r="G37" s="11"/>
      <c r="H37" s="11"/>
      <c r="I37" s="11"/>
      <c r="J37" s="11" t="s">
        <v>58</v>
      </c>
      <c r="K37" s="11"/>
      <c r="L37" s="11"/>
      <c r="M37" s="11"/>
      <c r="N37" s="11"/>
      <c r="O37" s="11"/>
    </row>
    <row r="38" spans="1:15" ht="19.5" customHeight="1" x14ac:dyDescent="0.3">
      <c r="A38" s="10" t="s">
        <v>91</v>
      </c>
      <c r="B38" s="12"/>
      <c r="C38" s="12"/>
      <c r="D38" s="12"/>
      <c r="E38" s="12"/>
      <c r="F38" s="12"/>
      <c r="G38" s="12"/>
      <c r="H38" s="12"/>
      <c r="I38" s="12"/>
      <c r="J38" s="12" t="s">
        <v>58</v>
      </c>
      <c r="K38" s="12"/>
      <c r="L38" s="12"/>
      <c r="M38" s="12"/>
      <c r="N38" s="12"/>
      <c r="O38" s="12"/>
    </row>
    <row r="39" spans="1:15" ht="19.5" customHeight="1" x14ac:dyDescent="0.3">
      <c r="A39" s="10" t="s">
        <v>92</v>
      </c>
      <c r="B39" s="11"/>
      <c r="C39" s="11"/>
      <c r="D39" s="11"/>
      <c r="E39" s="11"/>
      <c r="F39" s="11"/>
      <c r="G39" s="11"/>
      <c r="H39" s="11"/>
      <c r="I39" s="11"/>
      <c r="J39" s="11" t="s">
        <v>58</v>
      </c>
      <c r="K39" s="11"/>
      <c r="L39" s="11"/>
      <c r="M39" s="11"/>
      <c r="N39" s="11"/>
      <c r="O39" s="11"/>
    </row>
    <row r="40" spans="1:15" ht="19.5" customHeight="1" x14ac:dyDescent="0.3">
      <c r="A40" s="10" t="s">
        <v>93</v>
      </c>
      <c r="B40" s="12"/>
      <c r="C40" s="12"/>
      <c r="D40" s="12"/>
      <c r="E40" s="12"/>
      <c r="F40" s="12"/>
      <c r="G40" s="12"/>
      <c r="H40" s="12"/>
      <c r="I40" s="12"/>
      <c r="J40" s="12" t="s">
        <v>58</v>
      </c>
      <c r="K40" s="12"/>
      <c r="L40" s="12"/>
      <c r="M40" s="12"/>
      <c r="N40" s="12"/>
      <c r="O40" s="12"/>
    </row>
    <row r="41" spans="1:15" ht="19.5" customHeight="1" x14ac:dyDescent="0.3">
      <c r="A41" s="10" t="s">
        <v>94</v>
      </c>
      <c r="B41" s="11"/>
      <c r="C41" s="11"/>
      <c r="D41" s="11"/>
      <c r="E41" s="11"/>
      <c r="F41" s="11"/>
      <c r="G41" s="11"/>
      <c r="H41" s="11"/>
      <c r="I41" s="11"/>
      <c r="J41" s="11" t="s">
        <v>58</v>
      </c>
      <c r="K41" s="11"/>
      <c r="L41" s="11"/>
      <c r="M41" s="11"/>
      <c r="N41" s="11"/>
      <c r="O41" s="11"/>
    </row>
    <row r="42" spans="1:15" ht="19.5" customHeight="1" x14ac:dyDescent="0.3">
      <c r="A42" s="10" t="s">
        <v>95</v>
      </c>
      <c r="B42" s="12"/>
      <c r="C42" s="12"/>
      <c r="D42" s="12"/>
      <c r="E42" s="12"/>
      <c r="F42" s="12"/>
      <c r="G42" s="12"/>
      <c r="H42" s="12"/>
      <c r="I42" s="12"/>
      <c r="J42" s="12" t="s">
        <v>58</v>
      </c>
      <c r="K42" s="12"/>
      <c r="L42" s="12"/>
      <c r="M42" s="12"/>
      <c r="N42" s="12"/>
      <c r="O42" s="12"/>
    </row>
    <row r="43" spans="1:15" ht="19.5" customHeight="1" x14ac:dyDescent="0.3">
      <c r="A43" s="10" t="s">
        <v>96</v>
      </c>
      <c r="B43" s="11"/>
      <c r="C43" s="11"/>
      <c r="D43" s="11"/>
      <c r="E43" s="11"/>
      <c r="F43" s="11"/>
      <c r="G43" s="11"/>
      <c r="H43" s="11"/>
      <c r="I43" s="11"/>
      <c r="J43" s="11" t="s">
        <v>58</v>
      </c>
      <c r="K43" s="11"/>
      <c r="L43" s="11"/>
      <c r="M43" s="11"/>
      <c r="N43" s="11"/>
      <c r="O43" s="11"/>
    </row>
    <row r="44" spans="1:15" ht="19.5" customHeight="1" x14ac:dyDescent="0.3">
      <c r="A44" s="10" t="s">
        <v>97</v>
      </c>
      <c r="B44" s="12"/>
      <c r="C44" s="12"/>
      <c r="D44" s="12"/>
      <c r="E44" s="12"/>
      <c r="F44" s="12"/>
      <c r="G44" s="12"/>
      <c r="H44" s="12"/>
      <c r="I44" s="12"/>
      <c r="J44" s="12" t="s">
        <v>58</v>
      </c>
      <c r="K44" s="12"/>
      <c r="L44" s="12"/>
      <c r="M44" s="12"/>
      <c r="N44" s="12"/>
      <c r="O44" s="12"/>
    </row>
    <row r="45" spans="1:15" ht="19.5" customHeight="1" x14ac:dyDescent="0.3">
      <c r="A45" s="10" t="s">
        <v>98</v>
      </c>
      <c r="B45" s="11"/>
      <c r="C45" s="11"/>
      <c r="D45" s="11"/>
      <c r="E45" s="11"/>
      <c r="F45" s="11"/>
      <c r="G45" s="11"/>
      <c r="H45" s="11"/>
      <c r="I45" s="11"/>
      <c r="J45" s="11" t="s">
        <v>58</v>
      </c>
      <c r="K45" s="11"/>
      <c r="L45" s="11"/>
      <c r="M45" s="11"/>
      <c r="N45" s="11"/>
      <c r="O45" s="11"/>
    </row>
    <row r="46" spans="1:15" ht="19.5" customHeight="1" x14ac:dyDescent="0.3">
      <c r="A46" s="10" t="s">
        <v>99</v>
      </c>
      <c r="B46" s="12"/>
      <c r="C46" s="12"/>
      <c r="D46" s="12"/>
      <c r="E46" s="12"/>
      <c r="F46" s="12"/>
      <c r="G46" s="12"/>
      <c r="H46" s="12"/>
      <c r="I46" s="12"/>
      <c r="J46" s="12" t="s">
        <v>58</v>
      </c>
      <c r="K46" s="12"/>
      <c r="L46" s="12"/>
      <c r="M46" s="12"/>
      <c r="N46" s="12"/>
      <c r="O46" s="12"/>
    </row>
    <row r="47" spans="1:15" ht="19.5" customHeight="1" x14ac:dyDescent="0.3">
      <c r="A47" s="10" t="s">
        <v>100</v>
      </c>
      <c r="B47" s="11"/>
      <c r="C47" s="11"/>
      <c r="D47" s="11"/>
      <c r="E47" s="11"/>
      <c r="F47" s="11"/>
      <c r="G47" s="11"/>
      <c r="H47" s="11"/>
      <c r="I47" s="11"/>
      <c r="J47" s="11" t="s">
        <v>58</v>
      </c>
      <c r="K47" s="11"/>
      <c r="L47" s="11"/>
      <c r="M47" s="11"/>
      <c r="N47" s="11"/>
      <c r="O47" s="11"/>
    </row>
    <row r="48" spans="1:15" ht="19.5" customHeight="1" x14ac:dyDescent="0.3">
      <c r="A48" s="10" t="s">
        <v>101</v>
      </c>
      <c r="B48" s="12"/>
      <c r="C48" s="12"/>
      <c r="D48" s="12"/>
      <c r="E48" s="12"/>
      <c r="F48" s="12"/>
      <c r="G48" s="12"/>
      <c r="H48" s="12"/>
      <c r="I48" s="12"/>
      <c r="J48" s="12" t="s">
        <v>58</v>
      </c>
      <c r="K48" s="12"/>
      <c r="L48" s="12"/>
      <c r="M48" s="12"/>
      <c r="N48" s="12"/>
      <c r="O48" s="12"/>
    </row>
    <row r="49" spans="1:15" ht="19.5" customHeight="1" x14ac:dyDescent="0.3">
      <c r="A49" s="10" t="s">
        <v>102</v>
      </c>
      <c r="B49" s="11"/>
      <c r="C49" s="11"/>
      <c r="D49" s="11"/>
      <c r="E49" s="11"/>
      <c r="F49" s="11"/>
      <c r="G49" s="11"/>
      <c r="H49" s="11"/>
      <c r="I49" s="11"/>
      <c r="J49" s="11" t="s">
        <v>58</v>
      </c>
      <c r="K49" s="11"/>
      <c r="L49" s="11"/>
      <c r="M49" s="11"/>
      <c r="N49" s="11"/>
      <c r="O49" s="11"/>
    </row>
    <row r="50" spans="1:15" ht="19.5" customHeight="1" x14ac:dyDescent="0.3">
      <c r="A50" s="10" t="s">
        <v>103</v>
      </c>
      <c r="B50" s="12"/>
      <c r="C50" s="12"/>
      <c r="D50" s="12"/>
      <c r="E50" s="12"/>
      <c r="F50" s="12"/>
      <c r="G50" s="12"/>
      <c r="H50" s="12"/>
      <c r="I50" s="12"/>
      <c r="J50" s="12" t="s">
        <v>58</v>
      </c>
      <c r="K50" s="12"/>
      <c r="L50" s="12"/>
      <c r="M50" s="12"/>
      <c r="N50" s="12"/>
      <c r="O50" s="12"/>
    </row>
    <row r="51" spans="1:15" ht="19.5" customHeight="1" x14ac:dyDescent="0.3">
      <c r="A51" s="10" t="s">
        <v>104</v>
      </c>
      <c r="B51" s="11"/>
      <c r="C51" s="11"/>
      <c r="D51" s="11"/>
      <c r="E51" s="11"/>
      <c r="F51" s="11"/>
      <c r="G51" s="11"/>
      <c r="H51" s="11"/>
      <c r="I51" s="11"/>
      <c r="J51" s="11" t="s">
        <v>58</v>
      </c>
      <c r="K51" s="11"/>
      <c r="L51" s="11"/>
      <c r="M51" s="11"/>
      <c r="N51" s="11"/>
      <c r="O51" s="11"/>
    </row>
    <row r="52" spans="1:15" ht="19.5" customHeight="1" x14ac:dyDescent="0.3">
      <c r="A52" s="10" t="s">
        <v>105</v>
      </c>
      <c r="B52" s="12"/>
      <c r="C52" s="12"/>
      <c r="D52" s="12"/>
      <c r="E52" s="12"/>
      <c r="F52" s="12"/>
      <c r="G52" s="12"/>
      <c r="H52" s="12"/>
      <c r="I52" s="12"/>
      <c r="J52" s="12" t="s">
        <v>58</v>
      </c>
      <c r="K52" s="12"/>
      <c r="L52" s="12"/>
      <c r="M52" s="12"/>
      <c r="N52" s="12"/>
      <c r="O52" s="12"/>
    </row>
    <row r="53" spans="1:15" ht="19.5" customHeight="1" x14ac:dyDescent="0.3">
      <c r="A53" s="10" t="s">
        <v>106</v>
      </c>
      <c r="B53" s="11"/>
      <c r="C53" s="11"/>
      <c r="D53" s="11"/>
      <c r="E53" s="11"/>
      <c r="F53" s="11"/>
      <c r="G53" s="11"/>
      <c r="H53" s="11"/>
      <c r="I53" s="11"/>
      <c r="J53" s="11" t="s">
        <v>58</v>
      </c>
      <c r="K53" s="11"/>
      <c r="L53" s="11"/>
      <c r="M53" s="11"/>
      <c r="N53" s="11"/>
      <c r="O53" s="11"/>
    </row>
    <row r="54" spans="1:15" ht="19.5" customHeight="1" x14ac:dyDescent="0.3">
      <c r="A54" s="10" t="s">
        <v>107</v>
      </c>
      <c r="B54" s="12"/>
      <c r="C54" s="12"/>
      <c r="D54" s="12"/>
      <c r="E54" s="12"/>
      <c r="F54" s="12"/>
      <c r="G54" s="12"/>
      <c r="H54" s="12"/>
      <c r="I54" s="12"/>
      <c r="J54" s="12" t="s">
        <v>58</v>
      </c>
      <c r="K54" s="12"/>
      <c r="L54" s="12"/>
      <c r="M54" s="12"/>
      <c r="N54" s="12"/>
      <c r="O54" s="12"/>
    </row>
  </sheetData>
  <mergeCells count="2">
    <mergeCell ref="A1:O1"/>
    <mergeCell ref="A2:O2"/>
  </mergeCells>
  <conditionalFormatting sqref="A5:O54">
    <cfRule type="expression" dxfId="9" priority="2">
      <formula>$J5="Suspendu"</formula>
    </cfRule>
    <cfRule type="expression" dxfId="8" priority="3">
      <formula>$J5="Inactif"</formula>
    </cfRule>
  </conditionalFormatting>
  <dataValidations count="2">
    <dataValidation type="list" sqref="J5:J54" xr:uid="{00000000-0002-0000-0200-000000000000}">
      <formula1>"Actif,Inactif,Suspendu,Exclu"</formula1>
      <formula2>0</formula2>
    </dataValidation>
    <dataValidation type="list" sqref="F5:F54" xr:uid="{00000000-0002-0000-0200-000001000000}">
      <formula1>"M,F"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operator="greaterThanOrEqual" showErrorMessage="1" errorTitle="Cotisation invalide" error="Montant minimum : 500 FCFA" xr:uid="{00000000-0002-0000-0200-000002000000}">
          <x14:formula1>
            <xm:f>'⚙️ PARAMÈTRES'!B6</xm:f>
          </x14:formula1>
          <x14:formula2>
            <xm:f>0</xm:f>
          </x14:formula2>
          <xm:sqref>K5:K54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I54"/>
  <sheetViews>
    <sheetView showGridLines="0" zoomScaleNormal="100" workbookViewId="0">
      <pane xSplit="4" ySplit="3" topLeftCell="BD15" activePane="bottomRight" state="frozen"/>
      <selection pane="topRight" activeCell="E1" sqref="E1"/>
      <selection pane="bottomLeft" activeCell="A4" sqref="A4"/>
      <selection pane="bottomRight" activeCell="BG3" sqref="BG3"/>
    </sheetView>
  </sheetViews>
  <sheetFormatPr baseColWidth="10" defaultColWidth="8.6640625" defaultRowHeight="14.4" x14ac:dyDescent="0.3"/>
  <cols>
    <col min="1" max="1" width="14" customWidth="1"/>
    <col min="2" max="2" width="18" customWidth="1"/>
    <col min="3" max="3" width="20" customWidth="1"/>
    <col min="4" max="4" width="14" customWidth="1"/>
    <col min="5" max="56" width="9" customWidth="1"/>
    <col min="57" max="58" width="13" customWidth="1"/>
    <col min="59" max="59" width="11" customWidth="1"/>
    <col min="60" max="60" width="12" customWidth="1"/>
    <col min="61" max="61" width="16" customWidth="1"/>
  </cols>
  <sheetData>
    <row r="1" spans="1:61" ht="31.5" customHeight="1" x14ac:dyDescent="0.3">
      <c r="A1" s="101" t="s">
        <v>108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</row>
    <row r="2" spans="1:61" ht="21.75" customHeight="1" x14ac:dyDescent="0.3">
      <c r="E2" s="105" t="s">
        <v>109</v>
      </c>
      <c r="F2" s="105"/>
      <c r="G2" s="105"/>
      <c r="H2" s="105"/>
      <c r="I2" s="105"/>
      <c r="J2" s="106" t="s">
        <v>110</v>
      </c>
      <c r="K2" s="106"/>
      <c r="L2" s="106"/>
      <c r="M2" s="106"/>
      <c r="N2" s="107" t="s">
        <v>111</v>
      </c>
      <c r="O2" s="107"/>
      <c r="P2" s="107"/>
      <c r="Q2" s="107"/>
      <c r="R2" s="108" t="s">
        <v>112</v>
      </c>
      <c r="S2" s="108"/>
      <c r="T2" s="108"/>
      <c r="U2" s="108"/>
      <c r="V2" s="109" t="s">
        <v>113</v>
      </c>
      <c r="W2" s="109"/>
      <c r="X2" s="109"/>
      <c r="Y2" s="109"/>
      <c r="Z2" s="109"/>
      <c r="AA2" s="110" t="s">
        <v>114</v>
      </c>
      <c r="AB2" s="110"/>
      <c r="AC2" s="110"/>
      <c r="AD2" s="110"/>
      <c r="AE2" s="111" t="s">
        <v>115</v>
      </c>
      <c r="AF2" s="111"/>
      <c r="AG2" s="111"/>
      <c r="AH2" s="111"/>
      <c r="AI2" s="112" t="s">
        <v>116</v>
      </c>
      <c r="AJ2" s="112"/>
      <c r="AK2" s="112"/>
      <c r="AL2" s="112"/>
      <c r="AM2" s="112"/>
      <c r="AN2" s="113" t="s">
        <v>117</v>
      </c>
      <c r="AO2" s="113"/>
      <c r="AP2" s="113"/>
      <c r="AQ2" s="113"/>
      <c r="AR2" s="114" t="s">
        <v>118</v>
      </c>
      <c r="AS2" s="114"/>
      <c r="AT2" s="114"/>
      <c r="AU2" s="114"/>
      <c r="AV2" s="114"/>
      <c r="AW2" s="115" t="s">
        <v>119</v>
      </c>
      <c r="AX2" s="115"/>
      <c r="AY2" s="115"/>
      <c r="AZ2" s="115"/>
      <c r="BA2" s="116" t="s">
        <v>120</v>
      </c>
      <c r="BB2" s="116"/>
      <c r="BC2" s="116"/>
      <c r="BD2" s="116"/>
    </row>
    <row r="3" spans="1:61" ht="36" customHeight="1" x14ac:dyDescent="0.3">
      <c r="A3" s="1" t="s">
        <v>42</v>
      </c>
      <c r="B3" s="1" t="s">
        <v>43</v>
      </c>
      <c r="C3" s="1" t="s">
        <v>44</v>
      </c>
      <c r="D3" s="1" t="s">
        <v>121</v>
      </c>
      <c r="E3" s="58">
        <v>46390</v>
      </c>
      <c r="F3" s="58">
        <v>46397</v>
      </c>
      <c r="G3" s="58">
        <v>46404</v>
      </c>
      <c r="H3" s="58">
        <v>46411</v>
      </c>
      <c r="I3" s="58">
        <v>46418</v>
      </c>
      <c r="J3" s="58">
        <v>46425</v>
      </c>
      <c r="K3" s="58">
        <v>46432</v>
      </c>
      <c r="L3" s="58">
        <v>46439</v>
      </c>
      <c r="M3" s="58">
        <v>46446</v>
      </c>
      <c r="N3" s="58">
        <v>46453</v>
      </c>
      <c r="O3" s="58">
        <v>46460</v>
      </c>
      <c r="P3" s="58">
        <v>46467</v>
      </c>
      <c r="Q3" s="58">
        <v>46474</v>
      </c>
      <c r="R3" s="58">
        <v>46481</v>
      </c>
      <c r="S3" s="58">
        <v>46488</v>
      </c>
      <c r="T3" s="58">
        <v>46495</v>
      </c>
      <c r="U3" s="58">
        <v>46502</v>
      </c>
      <c r="V3" s="58">
        <v>46509</v>
      </c>
      <c r="W3" s="58">
        <v>46516</v>
      </c>
      <c r="X3" s="58">
        <v>46523</v>
      </c>
      <c r="Y3" s="58">
        <v>46530</v>
      </c>
      <c r="Z3" s="58">
        <v>46537</v>
      </c>
      <c r="AA3" s="58">
        <v>46544</v>
      </c>
      <c r="AB3" s="58">
        <v>46551</v>
      </c>
      <c r="AC3" s="58">
        <v>46558</v>
      </c>
      <c r="AD3" s="58">
        <v>46565</v>
      </c>
      <c r="AE3" s="58">
        <v>46572</v>
      </c>
      <c r="AF3" s="58">
        <v>46579</v>
      </c>
      <c r="AG3" s="58">
        <v>46586</v>
      </c>
      <c r="AH3" s="58">
        <v>46593</v>
      </c>
      <c r="AI3" s="58">
        <v>46600</v>
      </c>
      <c r="AJ3" s="58">
        <v>46607</v>
      </c>
      <c r="AK3" s="58">
        <v>46614</v>
      </c>
      <c r="AL3" s="58">
        <v>46621</v>
      </c>
      <c r="AM3" s="58">
        <v>46628</v>
      </c>
      <c r="AN3" s="58">
        <v>46635</v>
      </c>
      <c r="AO3" s="58">
        <v>46642</v>
      </c>
      <c r="AP3" s="58">
        <v>46649</v>
      </c>
      <c r="AQ3" s="58">
        <v>46656</v>
      </c>
      <c r="AR3" s="58">
        <v>46663</v>
      </c>
      <c r="AS3" s="58">
        <v>46670</v>
      </c>
      <c r="AT3" s="58">
        <v>46677</v>
      </c>
      <c r="AU3" s="58">
        <v>46684</v>
      </c>
      <c r="AV3" s="58">
        <v>46691</v>
      </c>
      <c r="AW3" s="58">
        <v>46698</v>
      </c>
      <c r="AX3" s="58">
        <v>46705</v>
      </c>
      <c r="AY3" s="58">
        <v>46712</v>
      </c>
      <c r="AZ3" s="58">
        <v>46719</v>
      </c>
      <c r="BA3" s="58">
        <v>46726</v>
      </c>
      <c r="BB3" s="58">
        <v>46733</v>
      </c>
      <c r="BC3" s="58">
        <v>46740</v>
      </c>
      <c r="BD3" s="58">
        <v>46747</v>
      </c>
      <c r="BE3" s="13" t="s">
        <v>122</v>
      </c>
      <c r="BF3" s="14" t="s">
        <v>123</v>
      </c>
      <c r="BG3" s="15" t="s">
        <v>124</v>
      </c>
      <c r="BH3" s="16" t="s">
        <v>125</v>
      </c>
      <c r="BI3" s="1" t="s">
        <v>51</v>
      </c>
    </row>
    <row r="4" spans="1:61" ht="19.5" customHeight="1" x14ac:dyDescent="0.3">
      <c r="A4" s="17" t="str">
        <f>'👥 MEMBRES'!A5</f>
        <v>TSP-2027-001</v>
      </c>
      <c r="B4" s="18">
        <f>'👥 MEMBRES'!B5</f>
        <v>0</v>
      </c>
      <c r="C4" s="18">
        <f>'👥 MEMBRES'!C5</f>
        <v>0</v>
      </c>
      <c r="D4" s="19">
        <f>IF('👥 MEMBRES'!K5="",0,'👥 MEMBRES'!K5)</f>
        <v>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1">
        <f t="shared" ref="BE4:BE35" si="0">SUM(E4:BD4)</f>
        <v>0</v>
      </c>
      <c r="BF4" s="22">
        <f t="shared" ref="BF4:BF35" si="1">D4*COUNTA(E4:BD4)</f>
        <v>0</v>
      </c>
      <c r="BG4" s="23">
        <f t="shared" ref="BG4:BG35" si="2">BE4-BF4</f>
        <v>0</v>
      </c>
      <c r="BH4" s="24">
        <f>SUMIF('⚠️ PÉNALITÉS'!B:B,A4,'⚠️ PÉNALITÉS'!G:G)</f>
        <v>0</v>
      </c>
      <c r="BI4" s="25" t="str">
        <f>IF(D4=0,"— Non défini",IF(BG4&gt;=0,"✅ Conforme","⚠️ Insuffisant"))</f>
        <v>— Non défini</v>
      </c>
    </row>
    <row r="5" spans="1:61" ht="19.5" customHeight="1" x14ac:dyDescent="0.3">
      <c r="A5" s="17" t="str">
        <f>'👥 MEMBRES'!A6</f>
        <v>TSP-2027-002</v>
      </c>
      <c r="B5" s="26">
        <f>'👥 MEMBRES'!B6</f>
        <v>0</v>
      </c>
      <c r="C5" s="26">
        <f>'👥 MEMBRES'!C6</f>
        <v>0</v>
      </c>
      <c r="D5" s="19">
        <f>IF('👥 MEMBRES'!K6="",0,'👥 MEMBRES'!K6)</f>
        <v>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1">
        <f t="shared" si="0"/>
        <v>0</v>
      </c>
      <c r="BF5" s="22">
        <f t="shared" si="1"/>
        <v>0</v>
      </c>
      <c r="BG5" s="23">
        <f t="shared" si="2"/>
        <v>0</v>
      </c>
      <c r="BH5" s="24">
        <f>SUMIF('⚠️ PÉNALITÉS'!B:B,A5,'⚠️ PÉNALITÉS'!G:G)</f>
        <v>0</v>
      </c>
      <c r="BI5" s="28" t="str">
        <f t="shared" ref="BI5:BI35" si="3">IF(D5=0,"— Non défini",IF(BG5&gt;=0,"✅ Conforme","⚠️ Insuffisant"))</f>
        <v>— Non défini</v>
      </c>
    </row>
    <row r="6" spans="1:61" ht="19.5" customHeight="1" x14ac:dyDescent="0.3">
      <c r="A6" s="17" t="str">
        <f>'👥 MEMBRES'!A7</f>
        <v>TSP-2027-003</v>
      </c>
      <c r="B6" s="18">
        <f>'👥 MEMBRES'!B7</f>
        <v>0</v>
      </c>
      <c r="C6" s="18">
        <f>'👥 MEMBRES'!C7</f>
        <v>0</v>
      </c>
      <c r="D6" s="19">
        <f>IF('👥 MEMBRES'!K7="",0,'👥 MEMBRES'!K7)</f>
        <v>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1">
        <f t="shared" si="0"/>
        <v>0</v>
      </c>
      <c r="BF6" s="22">
        <f t="shared" si="1"/>
        <v>0</v>
      </c>
      <c r="BG6" s="23">
        <f t="shared" si="2"/>
        <v>0</v>
      </c>
      <c r="BH6" s="24">
        <f>SUMIF('⚠️ PÉNALITÉS'!B:B,A6,'⚠️ PÉNALITÉS'!G:G)</f>
        <v>0</v>
      </c>
      <c r="BI6" s="25" t="str">
        <f t="shared" si="3"/>
        <v>— Non défini</v>
      </c>
    </row>
    <row r="7" spans="1:61" ht="19.5" customHeight="1" x14ac:dyDescent="0.3">
      <c r="A7" s="17" t="str">
        <f>'👥 MEMBRES'!A8</f>
        <v>TSP-2027-004</v>
      </c>
      <c r="B7" s="26">
        <f>'👥 MEMBRES'!B8</f>
        <v>0</v>
      </c>
      <c r="C7" s="26">
        <f>'👥 MEMBRES'!C8</f>
        <v>0</v>
      </c>
      <c r="D7" s="19">
        <f>IF('👥 MEMBRES'!K8="",0,'👥 MEMBRES'!K8)</f>
        <v>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1">
        <f t="shared" si="0"/>
        <v>0</v>
      </c>
      <c r="BF7" s="22">
        <f t="shared" si="1"/>
        <v>0</v>
      </c>
      <c r="BG7" s="23">
        <f t="shared" si="2"/>
        <v>0</v>
      </c>
      <c r="BH7" s="24">
        <f>SUMIF('⚠️ PÉNALITÉS'!B:B,A7,'⚠️ PÉNALITÉS'!G:G)</f>
        <v>0</v>
      </c>
      <c r="BI7" s="28" t="str">
        <f t="shared" si="3"/>
        <v>— Non défini</v>
      </c>
    </row>
    <row r="8" spans="1:61" ht="19.5" customHeight="1" x14ac:dyDescent="0.3">
      <c r="A8" s="17" t="str">
        <f>'👥 MEMBRES'!A9</f>
        <v>TSP-2027-005</v>
      </c>
      <c r="B8" s="18">
        <f>'👥 MEMBRES'!B9</f>
        <v>0</v>
      </c>
      <c r="C8" s="18">
        <f>'👥 MEMBRES'!C9</f>
        <v>0</v>
      </c>
      <c r="D8" s="19">
        <f>IF('👥 MEMBRES'!K9="",0,'👥 MEMBRES'!K9)</f>
        <v>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1">
        <f t="shared" si="0"/>
        <v>0</v>
      </c>
      <c r="BF8" s="22">
        <f t="shared" si="1"/>
        <v>0</v>
      </c>
      <c r="BG8" s="23">
        <f t="shared" si="2"/>
        <v>0</v>
      </c>
      <c r="BH8" s="24">
        <f>SUMIF('⚠️ PÉNALITÉS'!B:B,A8,'⚠️ PÉNALITÉS'!G:G)</f>
        <v>0</v>
      </c>
      <c r="BI8" s="25" t="str">
        <f t="shared" si="3"/>
        <v>— Non défini</v>
      </c>
    </row>
    <row r="9" spans="1:61" ht="19.5" customHeight="1" x14ac:dyDescent="0.3">
      <c r="A9" s="17" t="str">
        <f>'👥 MEMBRES'!A10</f>
        <v>TSP-2027-006</v>
      </c>
      <c r="B9" s="26">
        <f>'👥 MEMBRES'!B10</f>
        <v>0</v>
      </c>
      <c r="C9" s="26">
        <f>'👥 MEMBRES'!C10</f>
        <v>0</v>
      </c>
      <c r="D9" s="19">
        <f>IF('👥 MEMBRES'!K10="",0,'👥 MEMBRES'!K10)</f>
        <v>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1">
        <f t="shared" si="0"/>
        <v>0</v>
      </c>
      <c r="BF9" s="22">
        <f t="shared" si="1"/>
        <v>0</v>
      </c>
      <c r="BG9" s="23">
        <f t="shared" si="2"/>
        <v>0</v>
      </c>
      <c r="BH9" s="24">
        <f>SUMIF('⚠️ PÉNALITÉS'!B:B,A9,'⚠️ PÉNALITÉS'!G:G)</f>
        <v>0</v>
      </c>
      <c r="BI9" s="28" t="str">
        <f t="shared" si="3"/>
        <v>— Non défini</v>
      </c>
    </row>
    <row r="10" spans="1:61" ht="19.5" customHeight="1" x14ac:dyDescent="0.3">
      <c r="A10" s="17" t="str">
        <f>'👥 MEMBRES'!A11</f>
        <v>TSP-2027-007</v>
      </c>
      <c r="B10" s="18">
        <f>'👥 MEMBRES'!B11</f>
        <v>0</v>
      </c>
      <c r="C10" s="18">
        <f>'👥 MEMBRES'!C11</f>
        <v>0</v>
      </c>
      <c r="D10" s="19">
        <f>IF('👥 MEMBRES'!K11="",0,'👥 MEMBRES'!K11)</f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1">
        <f t="shared" si="0"/>
        <v>0</v>
      </c>
      <c r="BF10" s="22">
        <f t="shared" si="1"/>
        <v>0</v>
      </c>
      <c r="BG10" s="23">
        <f t="shared" si="2"/>
        <v>0</v>
      </c>
      <c r="BH10" s="24">
        <f>SUMIF('⚠️ PÉNALITÉS'!B:B,A10,'⚠️ PÉNALITÉS'!G:G)</f>
        <v>0</v>
      </c>
      <c r="BI10" s="25" t="str">
        <f t="shared" si="3"/>
        <v>— Non défini</v>
      </c>
    </row>
    <row r="11" spans="1:61" ht="19.5" customHeight="1" x14ac:dyDescent="0.3">
      <c r="A11" s="17" t="str">
        <f>'👥 MEMBRES'!A12</f>
        <v>TSP-2027-008</v>
      </c>
      <c r="B11" s="26">
        <f>'👥 MEMBRES'!B12</f>
        <v>0</v>
      </c>
      <c r="C11" s="26">
        <f>'👥 MEMBRES'!C12</f>
        <v>0</v>
      </c>
      <c r="D11" s="19">
        <f>IF('👥 MEMBRES'!K12="",0,'👥 MEMBRES'!K12)</f>
        <v>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1">
        <f t="shared" si="0"/>
        <v>0</v>
      </c>
      <c r="BF11" s="22">
        <f t="shared" si="1"/>
        <v>0</v>
      </c>
      <c r="BG11" s="23">
        <f t="shared" si="2"/>
        <v>0</v>
      </c>
      <c r="BH11" s="24">
        <f>SUMIF('⚠️ PÉNALITÉS'!B:B,A11,'⚠️ PÉNALITÉS'!G:G)</f>
        <v>0</v>
      </c>
      <c r="BI11" s="28" t="str">
        <f t="shared" si="3"/>
        <v>— Non défini</v>
      </c>
    </row>
    <row r="12" spans="1:61" ht="19.5" customHeight="1" x14ac:dyDescent="0.3">
      <c r="A12" s="17" t="str">
        <f>'👥 MEMBRES'!A13</f>
        <v>TSP-2027-009</v>
      </c>
      <c r="B12" s="18">
        <f>'👥 MEMBRES'!B13</f>
        <v>0</v>
      </c>
      <c r="C12" s="18">
        <f>'👥 MEMBRES'!C13</f>
        <v>0</v>
      </c>
      <c r="D12" s="19">
        <f>IF('👥 MEMBRES'!K13="",0,'👥 MEMBRES'!K13)</f>
        <v>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1">
        <f t="shared" si="0"/>
        <v>0</v>
      </c>
      <c r="BF12" s="22">
        <f t="shared" si="1"/>
        <v>0</v>
      </c>
      <c r="BG12" s="23">
        <f t="shared" si="2"/>
        <v>0</v>
      </c>
      <c r="BH12" s="24">
        <f>SUMIF('⚠️ PÉNALITÉS'!B:B,A12,'⚠️ PÉNALITÉS'!G:G)</f>
        <v>0</v>
      </c>
      <c r="BI12" s="25" t="str">
        <f t="shared" si="3"/>
        <v>— Non défini</v>
      </c>
    </row>
    <row r="13" spans="1:61" ht="19.5" customHeight="1" x14ac:dyDescent="0.3">
      <c r="A13" s="17" t="str">
        <f>'👥 MEMBRES'!A14</f>
        <v>TSP-2027-010</v>
      </c>
      <c r="B13" s="26">
        <f>'👥 MEMBRES'!B14</f>
        <v>0</v>
      </c>
      <c r="C13" s="26">
        <f>'👥 MEMBRES'!C14</f>
        <v>0</v>
      </c>
      <c r="D13" s="19">
        <f>IF('👥 MEMBRES'!K14="",0,'👥 MEMBRES'!K14)</f>
        <v>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1">
        <f t="shared" si="0"/>
        <v>0</v>
      </c>
      <c r="BF13" s="22">
        <f t="shared" si="1"/>
        <v>0</v>
      </c>
      <c r="BG13" s="23">
        <f t="shared" si="2"/>
        <v>0</v>
      </c>
      <c r="BH13" s="24">
        <f>SUMIF('⚠️ PÉNALITÉS'!B:B,A13,'⚠️ PÉNALITÉS'!G:G)</f>
        <v>0</v>
      </c>
      <c r="BI13" s="28" t="str">
        <f t="shared" si="3"/>
        <v>— Non défini</v>
      </c>
    </row>
    <row r="14" spans="1:61" ht="19.5" customHeight="1" x14ac:dyDescent="0.3">
      <c r="A14" s="17" t="str">
        <f>'👥 MEMBRES'!A15</f>
        <v>TSP-2027-011</v>
      </c>
      <c r="B14" s="18">
        <f>'👥 MEMBRES'!B15</f>
        <v>0</v>
      </c>
      <c r="C14" s="18">
        <f>'👥 MEMBRES'!C15</f>
        <v>0</v>
      </c>
      <c r="D14" s="19">
        <f>IF('👥 MEMBRES'!K15="",0,'👥 MEMBRES'!K15)</f>
        <v>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1">
        <f t="shared" si="0"/>
        <v>0</v>
      </c>
      <c r="BF14" s="22">
        <f t="shared" si="1"/>
        <v>0</v>
      </c>
      <c r="BG14" s="23">
        <f t="shared" si="2"/>
        <v>0</v>
      </c>
      <c r="BH14" s="24">
        <f>SUMIF('⚠️ PÉNALITÉS'!B:B,A14,'⚠️ PÉNALITÉS'!G:G)</f>
        <v>0</v>
      </c>
      <c r="BI14" s="25" t="str">
        <f t="shared" si="3"/>
        <v>— Non défini</v>
      </c>
    </row>
    <row r="15" spans="1:61" ht="19.5" customHeight="1" x14ac:dyDescent="0.3">
      <c r="A15" s="17" t="str">
        <f>'👥 MEMBRES'!A16</f>
        <v>TSP-2027-012</v>
      </c>
      <c r="B15" s="26">
        <f>'👥 MEMBRES'!B16</f>
        <v>0</v>
      </c>
      <c r="C15" s="26">
        <f>'👥 MEMBRES'!C16</f>
        <v>0</v>
      </c>
      <c r="D15" s="19">
        <f>IF('👥 MEMBRES'!K16="",0,'👥 MEMBRES'!K16)</f>
        <v>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1">
        <f t="shared" si="0"/>
        <v>0</v>
      </c>
      <c r="BF15" s="22">
        <f t="shared" si="1"/>
        <v>0</v>
      </c>
      <c r="BG15" s="23">
        <f t="shared" si="2"/>
        <v>0</v>
      </c>
      <c r="BH15" s="24">
        <f>SUMIF('⚠️ PÉNALITÉS'!B:B,A15,'⚠️ PÉNALITÉS'!G:G)</f>
        <v>0</v>
      </c>
      <c r="BI15" s="28" t="str">
        <f t="shared" si="3"/>
        <v>— Non défini</v>
      </c>
    </row>
    <row r="16" spans="1:61" ht="19.5" customHeight="1" x14ac:dyDescent="0.3">
      <c r="A16" s="17" t="str">
        <f>'👥 MEMBRES'!A17</f>
        <v>TSP-2027-013</v>
      </c>
      <c r="B16" s="18">
        <f>'👥 MEMBRES'!B17</f>
        <v>0</v>
      </c>
      <c r="C16" s="18">
        <f>'👥 MEMBRES'!C17</f>
        <v>0</v>
      </c>
      <c r="D16" s="19">
        <f>IF('👥 MEMBRES'!K17="",0,'👥 MEMBRES'!K17)</f>
        <v>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1">
        <f t="shared" si="0"/>
        <v>0</v>
      </c>
      <c r="BF16" s="22">
        <f t="shared" si="1"/>
        <v>0</v>
      </c>
      <c r="BG16" s="23">
        <f t="shared" si="2"/>
        <v>0</v>
      </c>
      <c r="BH16" s="24">
        <f>SUMIF('⚠️ PÉNALITÉS'!B:B,A16,'⚠️ PÉNALITÉS'!G:G)</f>
        <v>0</v>
      </c>
      <c r="BI16" s="25" t="str">
        <f t="shared" si="3"/>
        <v>— Non défini</v>
      </c>
    </row>
    <row r="17" spans="1:61" ht="19.5" customHeight="1" x14ac:dyDescent="0.3">
      <c r="A17" s="17" t="str">
        <f>'👥 MEMBRES'!A18</f>
        <v>TSP-2027-014</v>
      </c>
      <c r="B17" s="26">
        <f>'👥 MEMBRES'!B18</f>
        <v>0</v>
      </c>
      <c r="C17" s="26">
        <f>'👥 MEMBRES'!C18</f>
        <v>0</v>
      </c>
      <c r="D17" s="19">
        <f>IF('👥 MEMBRES'!K18="",0,'👥 MEMBRES'!K18)</f>
        <v>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1">
        <f t="shared" si="0"/>
        <v>0</v>
      </c>
      <c r="BF17" s="22">
        <f t="shared" si="1"/>
        <v>0</v>
      </c>
      <c r="BG17" s="23">
        <f t="shared" si="2"/>
        <v>0</v>
      </c>
      <c r="BH17" s="24">
        <f>SUMIF('⚠️ PÉNALITÉS'!B:B,A17,'⚠️ PÉNALITÉS'!G:G)</f>
        <v>0</v>
      </c>
      <c r="BI17" s="28" t="str">
        <f t="shared" si="3"/>
        <v>— Non défini</v>
      </c>
    </row>
    <row r="18" spans="1:61" ht="19.5" customHeight="1" x14ac:dyDescent="0.3">
      <c r="A18" s="17" t="str">
        <f>'👥 MEMBRES'!A19</f>
        <v>TSP-2027-015</v>
      </c>
      <c r="B18" s="18">
        <f>'👥 MEMBRES'!B19</f>
        <v>0</v>
      </c>
      <c r="C18" s="18">
        <f>'👥 MEMBRES'!C19</f>
        <v>0</v>
      </c>
      <c r="D18" s="19">
        <f>IF('👥 MEMBRES'!K19="",0,'👥 MEMBRES'!K19)</f>
        <v>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1">
        <f t="shared" si="0"/>
        <v>0</v>
      </c>
      <c r="BF18" s="22">
        <f t="shared" si="1"/>
        <v>0</v>
      </c>
      <c r="BG18" s="23">
        <f t="shared" si="2"/>
        <v>0</v>
      </c>
      <c r="BH18" s="24">
        <f>SUMIF('⚠️ PÉNALITÉS'!B:B,A18,'⚠️ PÉNALITÉS'!G:G)</f>
        <v>0</v>
      </c>
      <c r="BI18" s="25" t="str">
        <f t="shared" si="3"/>
        <v>— Non défini</v>
      </c>
    </row>
    <row r="19" spans="1:61" ht="19.5" customHeight="1" x14ac:dyDescent="0.3">
      <c r="A19" s="17" t="str">
        <f>'👥 MEMBRES'!A20</f>
        <v>TSP-2027-016</v>
      </c>
      <c r="B19" s="26">
        <f>'👥 MEMBRES'!B20</f>
        <v>0</v>
      </c>
      <c r="C19" s="26">
        <f>'👥 MEMBRES'!C20</f>
        <v>0</v>
      </c>
      <c r="D19" s="19">
        <f>IF('👥 MEMBRES'!K20="",0,'👥 MEMBRES'!K20)</f>
        <v>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1">
        <f t="shared" si="0"/>
        <v>0</v>
      </c>
      <c r="BF19" s="22">
        <f t="shared" si="1"/>
        <v>0</v>
      </c>
      <c r="BG19" s="23">
        <f t="shared" si="2"/>
        <v>0</v>
      </c>
      <c r="BH19" s="24">
        <f>SUMIF('⚠️ PÉNALITÉS'!B:B,A19,'⚠️ PÉNALITÉS'!G:G)</f>
        <v>0</v>
      </c>
      <c r="BI19" s="28" t="str">
        <f t="shared" si="3"/>
        <v>— Non défini</v>
      </c>
    </row>
    <row r="20" spans="1:61" ht="19.5" customHeight="1" x14ac:dyDescent="0.3">
      <c r="A20" s="17" t="str">
        <f>'👥 MEMBRES'!A21</f>
        <v>TSP-2027-017</v>
      </c>
      <c r="B20" s="18">
        <f>'👥 MEMBRES'!B21</f>
        <v>0</v>
      </c>
      <c r="C20" s="18">
        <f>'👥 MEMBRES'!C21</f>
        <v>0</v>
      </c>
      <c r="D20" s="19">
        <f>IF('👥 MEMBRES'!K21="",0,'👥 MEMBRES'!K21)</f>
        <v>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1">
        <f t="shared" si="0"/>
        <v>0</v>
      </c>
      <c r="BF20" s="22">
        <f t="shared" si="1"/>
        <v>0</v>
      </c>
      <c r="BG20" s="23">
        <f t="shared" si="2"/>
        <v>0</v>
      </c>
      <c r="BH20" s="24">
        <f>SUMIF('⚠️ PÉNALITÉS'!B:B,A20,'⚠️ PÉNALITÉS'!G:G)</f>
        <v>0</v>
      </c>
      <c r="BI20" s="25" t="str">
        <f t="shared" si="3"/>
        <v>— Non défini</v>
      </c>
    </row>
    <row r="21" spans="1:61" ht="19.5" customHeight="1" x14ac:dyDescent="0.3">
      <c r="A21" s="17" t="str">
        <f>'👥 MEMBRES'!A22</f>
        <v>TSP-2027-018</v>
      </c>
      <c r="B21" s="26">
        <f>'👥 MEMBRES'!B22</f>
        <v>0</v>
      </c>
      <c r="C21" s="26">
        <f>'👥 MEMBRES'!C22</f>
        <v>0</v>
      </c>
      <c r="D21" s="19">
        <f>IF('👥 MEMBRES'!K22="",0,'👥 MEMBRES'!K22)</f>
        <v>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1">
        <f t="shared" si="0"/>
        <v>0</v>
      </c>
      <c r="BF21" s="22">
        <f t="shared" si="1"/>
        <v>0</v>
      </c>
      <c r="BG21" s="23">
        <f t="shared" si="2"/>
        <v>0</v>
      </c>
      <c r="BH21" s="24">
        <f>SUMIF('⚠️ PÉNALITÉS'!B:B,A21,'⚠️ PÉNALITÉS'!G:G)</f>
        <v>0</v>
      </c>
      <c r="BI21" s="28" t="str">
        <f t="shared" si="3"/>
        <v>— Non défini</v>
      </c>
    </row>
    <row r="22" spans="1:61" ht="19.5" customHeight="1" x14ac:dyDescent="0.3">
      <c r="A22" s="17" t="str">
        <f>'👥 MEMBRES'!A23</f>
        <v>TSP-2027-019</v>
      </c>
      <c r="B22" s="18">
        <f>'👥 MEMBRES'!B23</f>
        <v>0</v>
      </c>
      <c r="C22" s="18">
        <f>'👥 MEMBRES'!C23</f>
        <v>0</v>
      </c>
      <c r="D22" s="19">
        <f>IF('👥 MEMBRES'!K23="",0,'👥 MEMBRES'!K23)</f>
        <v>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1">
        <f t="shared" si="0"/>
        <v>0</v>
      </c>
      <c r="BF22" s="22">
        <f t="shared" si="1"/>
        <v>0</v>
      </c>
      <c r="BG22" s="23">
        <f t="shared" si="2"/>
        <v>0</v>
      </c>
      <c r="BH22" s="24">
        <f>SUMIF('⚠️ PÉNALITÉS'!B:B,A22,'⚠️ PÉNALITÉS'!G:G)</f>
        <v>0</v>
      </c>
      <c r="BI22" s="25" t="str">
        <f t="shared" si="3"/>
        <v>— Non défini</v>
      </c>
    </row>
    <row r="23" spans="1:61" ht="19.5" customHeight="1" x14ac:dyDescent="0.3">
      <c r="A23" s="17" t="str">
        <f>'👥 MEMBRES'!A24</f>
        <v>TSP-2027-020</v>
      </c>
      <c r="B23" s="26">
        <f>'👥 MEMBRES'!B24</f>
        <v>0</v>
      </c>
      <c r="C23" s="26">
        <f>'👥 MEMBRES'!C24</f>
        <v>0</v>
      </c>
      <c r="D23" s="19">
        <f>IF('👥 MEMBRES'!K24="",0,'👥 MEMBRES'!K24)</f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1">
        <f t="shared" si="0"/>
        <v>0</v>
      </c>
      <c r="BF23" s="22">
        <f t="shared" si="1"/>
        <v>0</v>
      </c>
      <c r="BG23" s="23">
        <f t="shared" si="2"/>
        <v>0</v>
      </c>
      <c r="BH23" s="24">
        <f>SUMIF('⚠️ PÉNALITÉS'!B:B,A23,'⚠️ PÉNALITÉS'!G:G)</f>
        <v>0</v>
      </c>
      <c r="BI23" s="28" t="str">
        <f t="shared" si="3"/>
        <v>— Non défini</v>
      </c>
    </row>
    <row r="24" spans="1:61" ht="19.5" customHeight="1" x14ac:dyDescent="0.3">
      <c r="A24" s="17" t="str">
        <f>'👥 MEMBRES'!A25</f>
        <v>TSP-2027-021</v>
      </c>
      <c r="B24" s="18">
        <f>'👥 MEMBRES'!B25</f>
        <v>0</v>
      </c>
      <c r="C24" s="18">
        <f>'👥 MEMBRES'!C25</f>
        <v>0</v>
      </c>
      <c r="D24" s="19">
        <f>IF('👥 MEMBRES'!K25="",0,'👥 MEMBRES'!K25)</f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1">
        <f t="shared" si="0"/>
        <v>0</v>
      </c>
      <c r="BF24" s="22">
        <f t="shared" si="1"/>
        <v>0</v>
      </c>
      <c r="BG24" s="23">
        <f t="shared" si="2"/>
        <v>0</v>
      </c>
      <c r="BH24" s="24">
        <f>SUMIF('⚠️ PÉNALITÉS'!B:B,A24,'⚠️ PÉNALITÉS'!G:G)</f>
        <v>0</v>
      </c>
      <c r="BI24" s="25" t="str">
        <f t="shared" si="3"/>
        <v>— Non défini</v>
      </c>
    </row>
    <row r="25" spans="1:61" ht="19.5" customHeight="1" x14ac:dyDescent="0.3">
      <c r="A25" s="17" t="str">
        <f>'👥 MEMBRES'!A26</f>
        <v>TSP-2027-022</v>
      </c>
      <c r="B25" s="26">
        <f>'👥 MEMBRES'!B26</f>
        <v>0</v>
      </c>
      <c r="C25" s="26">
        <f>'👥 MEMBRES'!C26</f>
        <v>0</v>
      </c>
      <c r="D25" s="19">
        <f>IF('👥 MEMBRES'!K26="",0,'👥 MEMBRES'!K26)</f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1">
        <f t="shared" si="0"/>
        <v>0</v>
      </c>
      <c r="BF25" s="22">
        <f t="shared" si="1"/>
        <v>0</v>
      </c>
      <c r="BG25" s="23">
        <f t="shared" si="2"/>
        <v>0</v>
      </c>
      <c r="BH25" s="24">
        <f>SUMIF('⚠️ PÉNALITÉS'!B:B,A25,'⚠️ PÉNALITÉS'!G:G)</f>
        <v>0</v>
      </c>
      <c r="BI25" s="28" t="str">
        <f t="shared" si="3"/>
        <v>— Non défini</v>
      </c>
    </row>
    <row r="26" spans="1:61" ht="19.5" customHeight="1" x14ac:dyDescent="0.3">
      <c r="A26" s="17" t="str">
        <f>'👥 MEMBRES'!A27</f>
        <v>TSP-2027-023</v>
      </c>
      <c r="B26" s="18">
        <f>'👥 MEMBRES'!B27</f>
        <v>0</v>
      </c>
      <c r="C26" s="18">
        <f>'👥 MEMBRES'!C27</f>
        <v>0</v>
      </c>
      <c r="D26" s="19">
        <f>IF('👥 MEMBRES'!K27="",0,'👥 MEMBRES'!K27)</f>
        <v>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1">
        <f t="shared" si="0"/>
        <v>0</v>
      </c>
      <c r="BF26" s="22">
        <f t="shared" si="1"/>
        <v>0</v>
      </c>
      <c r="BG26" s="23">
        <f t="shared" si="2"/>
        <v>0</v>
      </c>
      <c r="BH26" s="24">
        <f>SUMIF('⚠️ PÉNALITÉS'!B:B,A26,'⚠️ PÉNALITÉS'!G:G)</f>
        <v>0</v>
      </c>
      <c r="BI26" s="25" t="str">
        <f t="shared" si="3"/>
        <v>— Non défini</v>
      </c>
    </row>
    <row r="27" spans="1:61" ht="19.5" customHeight="1" x14ac:dyDescent="0.3">
      <c r="A27" s="17" t="str">
        <f>'👥 MEMBRES'!A28</f>
        <v>TSP-2027-024</v>
      </c>
      <c r="B27" s="26">
        <f>'👥 MEMBRES'!B28</f>
        <v>0</v>
      </c>
      <c r="C27" s="26">
        <f>'👥 MEMBRES'!C28</f>
        <v>0</v>
      </c>
      <c r="D27" s="19">
        <f>IF('👥 MEMBRES'!K28="",0,'👥 MEMBRES'!K28)</f>
        <v>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1">
        <f t="shared" si="0"/>
        <v>0</v>
      </c>
      <c r="BF27" s="22">
        <f t="shared" si="1"/>
        <v>0</v>
      </c>
      <c r="BG27" s="23">
        <f t="shared" si="2"/>
        <v>0</v>
      </c>
      <c r="BH27" s="24">
        <f>SUMIF('⚠️ PÉNALITÉS'!B:B,A27,'⚠️ PÉNALITÉS'!G:G)</f>
        <v>0</v>
      </c>
      <c r="BI27" s="28" t="str">
        <f t="shared" si="3"/>
        <v>— Non défini</v>
      </c>
    </row>
    <row r="28" spans="1:61" ht="19.5" customHeight="1" x14ac:dyDescent="0.3">
      <c r="A28" s="17" t="str">
        <f>'👥 MEMBRES'!A29</f>
        <v>TSP-2027-025</v>
      </c>
      <c r="B28" s="18">
        <f>'👥 MEMBRES'!B29</f>
        <v>0</v>
      </c>
      <c r="C28" s="18">
        <f>'👥 MEMBRES'!C29</f>
        <v>0</v>
      </c>
      <c r="D28" s="19">
        <f>IF('👥 MEMBRES'!K29="",0,'👥 MEMBRES'!K29)</f>
        <v>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1">
        <f t="shared" si="0"/>
        <v>0</v>
      </c>
      <c r="BF28" s="22">
        <f t="shared" si="1"/>
        <v>0</v>
      </c>
      <c r="BG28" s="23">
        <f t="shared" si="2"/>
        <v>0</v>
      </c>
      <c r="BH28" s="24">
        <f>SUMIF('⚠️ PÉNALITÉS'!B:B,A28,'⚠️ PÉNALITÉS'!G:G)</f>
        <v>0</v>
      </c>
      <c r="BI28" s="25" t="str">
        <f t="shared" si="3"/>
        <v>— Non défini</v>
      </c>
    </row>
    <row r="29" spans="1:61" ht="19.5" customHeight="1" x14ac:dyDescent="0.3">
      <c r="A29" s="17" t="str">
        <f>'👥 MEMBRES'!A30</f>
        <v>TSP-2027-026</v>
      </c>
      <c r="B29" s="26">
        <f>'👥 MEMBRES'!B30</f>
        <v>0</v>
      </c>
      <c r="C29" s="26">
        <f>'👥 MEMBRES'!C30</f>
        <v>0</v>
      </c>
      <c r="D29" s="19">
        <f>IF('👥 MEMBRES'!K30="",0,'👥 MEMBRES'!K30)</f>
        <v>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1">
        <f t="shared" si="0"/>
        <v>0</v>
      </c>
      <c r="BF29" s="22">
        <f t="shared" si="1"/>
        <v>0</v>
      </c>
      <c r="BG29" s="23">
        <f t="shared" si="2"/>
        <v>0</v>
      </c>
      <c r="BH29" s="24">
        <f>SUMIF('⚠️ PÉNALITÉS'!B:B,A29,'⚠️ PÉNALITÉS'!G:G)</f>
        <v>0</v>
      </c>
      <c r="BI29" s="28" t="str">
        <f t="shared" si="3"/>
        <v>— Non défini</v>
      </c>
    </row>
    <row r="30" spans="1:61" ht="19.5" customHeight="1" x14ac:dyDescent="0.3">
      <c r="A30" s="17" t="str">
        <f>'👥 MEMBRES'!A31</f>
        <v>TSP-2027-027</v>
      </c>
      <c r="B30" s="18">
        <f>'👥 MEMBRES'!B31</f>
        <v>0</v>
      </c>
      <c r="C30" s="18">
        <f>'👥 MEMBRES'!C31</f>
        <v>0</v>
      </c>
      <c r="D30" s="19">
        <f>IF('👥 MEMBRES'!K31="",0,'👥 MEMBRES'!K31)</f>
        <v>0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1">
        <f t="shared" si="0"/>
        <v>0</v>
      </c>
      <c r="BF30" s="22">
        <f t="shared" si="1"/>
        <v>0</v>
      </c>
      <c r="BG30" s="23">
        <f t="shared" si="2"/>
        <v>0</v>
      </c>
      <c r="BH30" s="24">
        <f>SUMIF('⚠️ PÉNALITÉS'!B:B,A30,'⚠️ PÉNALITÉS'!G:G)</f>
        <v>0</v>
      </c>
      <c r="BI30" s="25" t="str">
        <f t="shared" si="3"/>
        <v>— Non défini</v>
      </c>
    </row>
    <row r="31" spans="1:61" ht="19.5" customHeight="1" x14ac:dyDescent="0.3">
      <c r="A31" s="17" t="str">
        <f>'👥 MEMBRES'!A32</f>
        <v>TSP-2027-028</v>
      </c>
      <c r="B31" s="26">
        <f>'👥 MEMBRES'!B32</f>
        <v>0</v>
      </c>
      <c r="C31" s="26">
        <f>'👥 MEMBRES'!C32</f>
        <v>0</v>
      </c>
      <c r="D31" s="19">
        <f>IF('👥 MEMBRES'!K32="",0,'👥 MEMBRES'!K32)</f>
        <v>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1">
        <f t="shared" si="0"/>
        <v>0</v>
      </c>
      <c r="BF31" s="22">
        <f t="shared" si="1"/>
        <v>0</v>
      </c>
      <c r="BG31" s="23">
        <f t="shared" si="2"/>
        <v>0</v>
      </c>
      <c r="BH31" s="24">
        <f>SUMIF('⚠️ PÉNALITÉS'!B:B,A31,'⚠️ PÉNALITÉS'!G:G)</f>
        <v>0</v>
      </c>
      <c r="BI31" s="28" t="str">
        <f t="shared" si="3"/>
        <v>— Non défini</v>
      </c>
    </row>
    <row r="32" spans="1:61" ht="19.5" customHeight="1" x14ac:dyDescent="0.3">
      <c r="A32" s="17" t="str">
        <f>'👥 MEMBRES'!A33</f>
        <v>TSP-2027-029</v>
      </c>
      <c r="B32" s="18">
        <f>'👥 MEMBRES'!B33</f>
        <v>0</v>
      </c>
      <c r="C32" s="18">
        <f>'👥 MEMBRES'!C33</f>
        <v>0</v>
      </c>
      <c r="D32" s="19">
        <f>IF('👥 MEMBRES'!K33="",0,'👥 MEMBRES'!K33)</f>
        <v>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1">
        <f t="shared" si="0"/>
        <v>0</v>
      </c>
      <c r="BF32" s="22">
        <f t="shared" si="1"/>
        <v>0</v>
      </c>
      <c r="BG32" s="23">
        <f t="shared" si="2"/>
        <v>0</v>
      </c>
      <c r="BH32" s="24">
        <f>SUMIF('⚠️ PÉNALITÉS'!B:B,A32,'⚠️ PÉNALITÉS'!G:G)</f>
        <v>0</v>
      </c>
      <c r="BI32" s="25" t="str">
        <f t="shared" si="3"/>
        <v>— Non défini</v>
      </c>
    </row>
    <row r="33" spans="1:61" ht="19.5" customHeight="1" x14ac:dyDescent="0.3">
      <c r="A33" s="17" t="str">
        <f>'👥 MEMBRES'!A34</f>
        <v>TSP-2027-030</v>
      </c>
      <c r="B33" s="26">
        <f>'👥 MEMBRES'!B34</f>
        <v>0</v>
      </c>
      <c r="C33" s="26">
        <f>'👥 MEMBRES'!C34</f>
        <v>0</v>
      </c>
      <c r="D33" s="19">
        <f>IF('👥 MEMBRES'!K34="",0,'👥 MEMBRES'!K34)</f>
        <v>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1">
        <f t="shared" si="0"/>
        <v>0</v>
      </c>
      <c r="BF33" s="22">
        <f t="shared" si="1"/>
        <v>0</v>
      </c>
      <c r="BG33" s="23">
        <f t="shared" si="2"/>
        <v>0</v>
      </c>
      <c r="BH33" s="24">
        <f>SUMIF('⚠️ PÉNALITÉS'!B:B,A33,'⚠️ PÉNALITÉS'!G:G)</f>
        <v>0</v>
      </c>
      <c r="BI33" s="28" t="str">
        <f t="shared" si="3"/>
        <v>— Non défini</v>
      </c>
    </row>
    <row r="34" spans="1:61" ht="19.5" customHeight="1" x14ac:dyDescent="0.3">
      <c r="A34" s="17" t="str">
        <f>'👥 MEMBRES'!A35</f>
        <v>TSP-2027-031</v>
      </c>
      <c r="B34" s="18">
        <f>'👥 MEMBRES'!B35</f>
        <v>0</v>
      </c>
      <c r="C34" s="18">
        <f>'👥 MEMBRES'!C35</f>
        <v>0</v>
      </c>
      <c r="D34" s="19">
        <f>IF('👥 MEMBRES'!K35="",0,'👥 MEMBRES'!K35)</f>
        <v>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1">
        <f t="shared" si="0"/>
        <v>0</v>
      </c>
      <c r="BF34" s="22">
        <f t="shared" si="1"/>
        <v>0</v>
      </c>
      <c r="BG34" s="23">
        <f t="shared" si="2"/>
        <v>0</v>
      </c>
      <c r="BH34" s="24">
        <f>SUMIF('⚠️ PÉNALITÉS'!B:B,A34,'⚠️ PÉNALITÉS'!G:G)</f>
        <v>0</v>
      </c>
      <c r="BI34" s="25" t="str">
        <f t="shared" si="3"/>
        <v>— Non défini</v>
      </c>
    </row>
    <row r="35" spans="1:61" ht="19.5" customHeight="1" x14ac:dyDescent="0.3">
      <c r="A35" s="17" t="str">
        <f>'👥 MEMBRES'!A36</f>
        <v>TSP-2027-032</v>
      </c>
      <c r="B35" s="26">
        <f>'👥 MEMBRES'!B36</f>
        <v>0</v>
      </c>
      <c r="C35" s="26">
        <f>'👥 MEMBRES'!C36</f>
        <v>0</v>
      </c>
      <c r="D35" s="19">
        <f>IF('👥 MEMBRES'!K36="",0,'👥 MEMBRES'!K36)</f>
        <v>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1">
        <f t="shared" si="0"/>
        <v>0</v>
      </c>
      <c r="BF35" s="22">
        <f t="shared" si="1"/>
        <v>0</v>
      </c>
      <c r="BG35" s="23">
        <f t="shared" si="2"/>
        <v>0</v>
      </c>
      <c r="BH35" s="24">
        <f>SUMIF('⚠️ PÉNALITÉS'!B:B,A35,'⚠️ PÉNALITÉS'!G:G)</f>
        <v>0</v>
      </c>
      <c r="BI35" s="28" t="str">
        <f t="shared" si="3"/>
        <v>— Non défini</v>
      </c>
    </row>
    <row r="36" spans="1:61" ht="19.5" customHeight="1" x14ac:dyDescent="0.3">
      <c r="A36" s="17" t="str">
        <f>'👥 MEMBRES'!A37</f>
        <v>TSP-2027-033</v>
      </c>
      <c r="B36" s="18">
        <f>'👥 MEMBRES'!B37</f>
        <v>0</v>
      </c>
      <c r="C36" s="18">
        <f>'👥 MEMBRES'!C37</f>
        <v>0</v>
      </c>
      <c r="D36" s="19">
        <f>IF('👥 MEMBRES'!K37="",0,'👥 MEMBRES'!K37)</f>
        <v>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1">
        <f t="shared" ref="BE36:BE53" si="4">SUM(E36:BD36)</f>
        <v>0</v>
      </c>
      <c r="BF36" s="22">
        <f t="shared" ref="BF36:BF53" si="5">D36*COUNTA(E36:BD36)</f>
        <v>0</v>
      </c>
      <c r="BG36" s="23">
        <f t="shared" ref="BG36:BG53" si="6">BE36-BF36</f>
        <v>0</v>
      </c>
      <c r="BH36" s="24">
        <f>SUMIF('⚠️ PÉNALITÉS'!B:B,A36,'⚠️ PÉNALITÉS'!G:G)</f>
        <v>0</v>
      </c>
      <c r="BI36" s="25" t="str">
        <f t="shared" ref="BI36:BI53" si="7">IF(D36=0,"— Non défini",IF(BG36&gt;=0,"✅ Conforme","⚠️ Insuffisant"))</f>
        <v>— Non défini</v>
      </c>
    </row>
    <row r="37" spans="1:61" ht="19.5" customHeight="1" x14ac:dyDescent="0.3">
      <c r="A37" s="17" t="str">
        <f>'👥 MEMBRES'!A38</f>
        <v>TSP-2027-034</v>
      </c>
      <c r="B37" s="26">
        <f>'👥 MEMBRES'!B38</f>
        <v>0</v>
      </c>
      <c r="C37" s="26">
        <f>'👥 MEMBRES'!C38</f>
        <v>0</v>
      </c>
      <c r="D37" s="19">
        <f>IF('👥 MEMBRES'!K38="",0,'👥 MEMBRES'!K38)</f>
        <v>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1">
        <f t="shared" si="4"/>
        <v>0</v>
      </c>
      <c r="BF37" s="22">
        <f t="shared" si="5"/>
        <v>0</v>
      </c>
      <c r="BG37" s="23">
        <f t="shared" si="6"/>
        <v>0</v>
      </c>
      <c r="BH37" s="24">
        <f>SUMIF('⚠️ PÉNALITÉS'!B:B,A37,'⚠️ PÉNALITÉS'!G:G)</f>
        <v>0</v>
      </c>
      <c r="BI37" s="28" t="str">
        <f t="shared" si="7"/>
        <v>— Non défini</v>
      </c>
    </row>
    <row r="38" spans="1:61" ht="19.5" customHeight="1" x14ac:dyDescent="0.3">
      <c r="A38" s="17" t="str">
        <f>'👥 MEMBRES'!A39</f>
        <v>TSP-2027-035</v>
      </c>
      <c r="B38" s="18">
        <f>'👥 MEMBRES'!B39</f>
        <v>0</v>
      </c>
      <c r="C38" s="18">
        <f>'👥 MEMBRES'!C39</f>
        <v>0</v>
      </c>
      <c r="D38" s="19">
        <f>IF('👥 MEMBRES'!K39="",0,'👥 MEMBRES'!K39)</f>
        <v>0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1">
        <f t="shared" si="4"/>
        <v>0</v>
      </c>
      <c r="BF38" s="22">
        <f t="shared" si="5"/>
        <v>0</v>
      </c>
      <c r="BG38" s="23">
        <f t="shared" si="6"/>
        <v>0</v>
      </c>
      <c r="BH38" s="24">
        <f>SUMIF('⚠️ PÉNALITÉS'!B:B,A38,'⚠️ PÉNALITÉS'!G:G)</f>
        <v>0</v>
      </c>
      <c r="BI38" s="25" t="str">
        <f t="shared" si="7"/>
        <v>— Non défini</v>
      </c>
    </row>
    <row r="39" spans="1:61" ht="19.5" customHeight="1" x14ac:dyDescent="0.3">
      <c r="A39" s="17" t="str">
        <f>'👥 MEMBRES'!A40</f>
        <v>TSP-2027-036</v>
      </c>
      <c r="B39" s="26">
        <f>'👥 MEMBRES'!B40</f>
        <v>0</v>
      </c>
      <c r="C39" s="26">
        <f>'👥 MEMBRES'!C40</f>
        <v>0</v>
      </c>
      <c r="D39" s="19">
        <f>IF('👥 MEMBRES'!K40="",0,'👥 MEMBRES'!K40)</f>
        <v>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1">
        <f t="shared" si="4"/>
        <v>0</v>
      </c>
      <c r="BF39" s="22">
        <f t="shared" si="5"/>
        <v>0</v>
      </c>
      <c r="BG39" s="23">
        <f t="shared" si="6"/>
        <v>0</v>
      </c>
      <c r="BH39" s="24">
        <f>SUMIF('⚠️ PÉNALITÉS'!B:B,A39,'⚠️ PÉNALITÉS'!G:G)</f>
        <v>0</v>
      </c>
      <c r="BI39" s="28" t="str">
        <f t="shared" si="7"/>
        <v>— Non défini</v>
      </c>
    </row>
    <row r="40" spans="1:61" ht="19.5" customHeight="1" x14ac:dyDescent="0.3">
      <c r="A40" s="17" t="str">
        <f>'👥 MEMBRES'!A41</f>
        <v>TSP-2027-037</v>
      </c>
      <c r="B40" s="18">
        <f>'👥 MEMBRES'!B41</f>
        <v>0</v>
      </c>
      <c r="C40" s="18">
        <f>'👥 MEMBRES'!C41</f>
        <v>0</v>
      </c>
      <c r="D40" s="19">
        <f>IF('👥 MEMBRES'!K41="",0,'👥 MEMBRES'!K41)</f>
        <v>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1">
        <f t="shared" si="4"/>
        <v>0</v>
      </c>
      <c r="BF40" s="22">
        <f t="shared" si="5"/>
        <v>0</v>
      </c>
      <c r="BG40" s="23">
        <f t="shared" si="6"/>
        <v>0</v>
      </c>
      <c r="BH40" s="24">
        <f>SUMIF('⚠️ PÉNALITÉS'!B:B,A40,'⚠️ PÉNALITÉS'!G:G)</f>
        <v>0</v>
      </c>
      <c r="BI40" s="25" t="str">
        <f t="shared" si="7"/>
        <v>— Non défini</v>
      </c>
    </row>
    <row r="41" spans="1:61" ht="19.5" customHeight="1" x14ac:dyDescent="0.3">
      <c r="A41" s="17" t="str">
        <f>'👥 MEMBRES'!A42</f>
        <v>TSP-2027-038</v>
      </c>
      <c r="B41" s="26">
        <f>'👥 MEMBRES'!B42</f>
        <v>0</v>
      </c>
      <c r="C41" s="26">
        <f>'👥 MEMBRES'!C42</f>
        <v>0</v>
      </c>
      <c r="D41" s="19">
        <f>IF('👥 MEMBRES'!K42="",0,'👥 MEMBRES'!K42)</f>
        <v>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1">
        <f t="shared" si="4"/>
        <v>0</v>
      </c>
      <c r="BF41" s="22">
        <f t="shared" si="5"/>
        <v>0</v>
      </c>
      <c r="BG41" s="23">
        <f t="shared" si="6"/>
        <v>0</v>
      </c>
      <c r="BH41" s="24">
        <f>SUMIF('⚠️ PÉNALITÉS'!B:B,A41,'⚠️ PÉNALITÉS'!G:G)</f>
        <v>0</v>
      </c>
      <c r="BI41" s="28" t="str">
        <f t="shared" si="7"/>
        <v>— Non défini</v>
      </c>
    </row>
    <row r="42" spans="1:61" ht="19.5" customHeight="1" x14ac:dyDescent="0.3">
      <c r="A42" s="17" t="str">
        <f>'👥 MEMBRES'!A43</f>
        <v>TSP-2027-039</v>
      </c>
      <c r="B42" s="18">
        <f>'👥 MEMBRES'!B43</f>
        <v>0</v>
      </c>
      <c r="C42" s="18">
        <f>'👥 MEMBRES'!C43</f>
        <v>0</v>
      </c>
      <c r="D42" s="19">
        <f>IF('👥 MEMBRES'!K43="",0,'👥 MEMBRES'!K43)</f>
        <v>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1">
        <f t="shared" si="4"/>
        <v>0</v>
      </c>
      <c r="BF42" s="22">
        <f t="shared" si="5"/>
        <v>0</v>
      </c>
      <c r="BG42" s="23">
        <f t="shared" si="6"/>
        <v>0</v>
      </c>
      <c r="BH42" s="24">
        <f>SUMIF('⚠️ PÉNALITÉS'!B:B,A42,'⚠️ PÉNALITÉS'!G:G)</f>
        <v>0</v>
      </c>
      <c r="BI42" s="25" t="str">
        <f t="shared" si="7"/>
        <v>— Non défini</v>
      </c>
    </row>
    <row r="43" spans="1:61" ht="19.5" customHeight="1" x14ac:dyDescent="0.3">
      <c r="A43" s="17" t="str">
        <f>'👥 MEMBRES'!A44</f>
        <v>TSP-2027-040</v>
      </c>
      <c r="B43" s="26">
        <f>'👥 MEMBRES'!B44</f>
        <v>0</v>
      </c>
      <c r="C43" s="26">
        <f>'👥 MEMBRES'!C44</f>
        <v>0</v>
      </c>
      <c r="D43" s="19">
        <f>IF('👥 MEMBRES'!K44="",0,'👥 MEMBRES'!K44)</f>
        <v>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1">
        <f t="shared" si="4"/>
        <v>0</v>
      </c>
      <c r="BF43" s="22">
        <f t="shared" si="5"/>
        <v>0</v>
      </c>
      <c r="BG43" s="23">
        <f t="shared" si="6"/>
        <v>0</v>
      </c>
      <c r="BH43" s="24">
        <f>SUMIF('⚠️ PÉNALITÉS'!B:B,A43,'⚠️ PÉNALITÉS'!G:G)</f>
        <v>0</v>
      </c>
      <c r="BI43" s="28" t="str">
        <f t="shared" si="7"/>
        <v>— Non défini</v>
      </c>
    </row>
    <row r="44" spans="1:61" ht="19.5" customHeight="1" x14ac:dyDescent="0.3">
      <c r="A44" s="17" t="str">
        <f>'👥 MEMBRES'!A45</f>
        <v>TSP-2027-041</v>
      </c>
      <c r="B44" s="18">
        <f>'👥 MEMBRES'!B45</f>
        <v>0</v>
      </c>
      <c r="C44" s="18">
        <f>'👥 MEMBRES'!C45</f>
        <v>0</v>
      </c>
      <c r="D44" s="19">
        <f>IF('👥 MEMBRES'!K45="",0,'👥 MEMBRES'!K45)</f>
        <v>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1">
        <f t="shared" si="4"/>
        <v>0</v>
      </c>
      <c r="BF44" s="22">
        <f t="shared" si="5"/>
        <v>0</v>
      </c>
      <c r="BG44" s="23">
        <f t="shared" si="6"/>
        <v>0</v>
      </c>
      <c r="BH44" s="24">
        <f>SUMIF('⚠️ PÉNALITÉS'!B:B,A44,'⚠️ PÉNALITÉS'!G:G)</f>
        <v>0</v>
      </c>
      <c r="BI44" s="25" t="str">
        <f t="shared" si="7"/>
        <v>— Non défini</v>
      </c>
    </row>
    <row r="45" spans="1:61" ht="19.5" customHeight="1" x14ac:dyDescent="0.3">
      <c r="A45" s="17" t="str">
        <f>'👥 MEMBRES'!A46</f>
        <v>TSP-2027-042</v>
      </c>
      <c r="B45" s="26">
        <f>'👥 MEMBRES'!B46</f>
        <v>0</v>
      </c>
      <c r="C45" s="26">
        <f>'👥 MEMBRES'!C46</f>
        <v>0</v>
      </c>
      <c r="D45" s="19">
        <f>IF('👥 MEMBRES'!K46="",0,'👥 MEMBRES'!K46)</f>
        <v>0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1">
        <f t="shared" si="4"/>
        <v>0</v>
      </c>
      <c r="BF45" s="22">
        <f t="shared" si="5"/>
        <v>0</v>
      </c>
      <c r="BG45" s="23">
        <f t="shared" si="6"/>
        <v>0</v>
      </c>
      <c r="BH45" s="24">
        <f>SUMIF('⚠️ PÉNALITÉS'!B:B,A45,'⚠️ PÉNALITÉS'!G:G)</f>
        <v>0</v>
      </c>
      <c r="BI45" s="28" t="str">
        <f t="shared" si="7"/>
        <v>— Non défini</v>
      </c>
    </row>
    <row r="46" spans="1:61" ht="19.5" customHeight="1" x14ac:dyDescent="0.3">
      <c r="A46" s="17" t="str">
        <f>'👥 MEMBRES'!A47</f>
        <v>TSP-2027-043</v>
      </c>
      <c r="B46" s="18">
        <f>'👥 MEMBRES'!B47</f>
        <v>0</v>
      </c>
      <c r="C46" s="18">
        <f>'👥 MEMBRES'!C47</f>
        <v>0</v>
      </c>
      <c r="D46" s="19">
        <f>IF('👥 MEMBRES'!K47="",0,'👥 MEMBRES'!K47)</f>
        <v>0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1">
        <f t="shared" si="4"/>
        <v>0</v>
      </c>
      <c r="BF46" s="22">
        <f t="shared" si="5"/>
        <v>0</v>
      </c>
      <c r="BG46" s="23">
        <f t="shared" si="6"/>
        <v>0</v>
      </c>
      <c r="BH46" s="24">
        <f>SUMIF('⚠️ PÉNALITÉS'!B:B,A46,'⚠️ PÉNALITÉS'!G:G)</f>
        <v>0</v>
      </c>
      <c r="BI46" s="25" t="str">
        <f t="shared" si="7"/>
        <v>— Non défini</v>
      </c>
    </row>
    <row r="47" spans="1:61" ht="19.5" customHeight="1" x14ac:dyDescent="0.3">
      <c r="A47" s="17" t="str">
        <f>'👥 MEMBRES'!A48</f>
        <v>TSP-2027-044</v>
      </c>
      <c r="B47" s="26">
        <f>'👥 MEMBRES'!B48</f>
        <v>0</v>
      </c>
      <c r="C47" s="26">
        <f>'👥 MEMBRES'!C48</f>
        <v>0</v>
      </c>
      <c r="D47" s="19">
        <f>IF('👥 MEMBRES'!K48="",0,'👥 MEMBRES'!K48)</f>
        <v>0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1">
        <f t="shared" si="4"/>
        <v>0</v>
      </c>
      <c r="BF47" s="22">
        <f t="shared" si="5"/>
        <v>0</v>
      </c>
      <c r="BG47" s="23">
        <f t="shared" si="6"/>
        <v>0</v>
      </c>
      <c r="BH47" s="24">
        <f>SUMIF('⚠️ PÉNALITÉS'!B:B,A47,'⚠️ PÉNALITÉS'!G:G)</f>
        <v>0</v>
      </c>
      <c r="BI47" s="28" t="str">
        <f t="shared" si="7"/>
        <v>— Non défini</v>
      </c>
    </row>
    <row r="48" spans="1:61" ht="19.5" customHeight="1" x14ac:dyDescent="0.3">
      <c r="A48" s="17" t="str">
        <f>'👥 MEMBRES'!A49</f>
        <v>TSP-2027-045</v>
      </c>
      <c r="B48" s="18">
        <f>'👥 MEMBRES'!B49</f>
        <v>0</v>
      </c>
      <c r="C48" s="18">
        <f>'👥 MEMBRES'!C49</f>
        <v>0</v>
      </c>
      <c r="D48" s="19">
        <f>IF('👥 MEMBRES'!K49="",0,'👥 MEMBRES'!K49)</f>
        <v>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1">
        <f t="shared" si="4"/>
        <v>0</v>
      </c>
      <c r="BF48" s="22">
        <f t="shared" si="5"/>
        <v>0</v>
      </c>
      <c r="BG48" s="23">
        <f t="shared" si="6"/>
        <v>0</v>
      </c>
      <c r="BH48" s="24">
        <f>SUMIF('⚠️ PÉNALITÉS'!B:B,A48,'⚠️ PÉNALITÉS'!G:G)</f>
        <v>0</v>
      </c>
      <c r="BI48" s="25" t="str">
        <f t="shared" si="7"/>
        <v>— Non défini</v>
      </c>
    </row>
    <row r="49" spans="1:61" ht="19.5" customHeight="1" x14ac:dyDescent="0.3">
      <c r="A49" s="17" t="str">
        <f>'👥 MEMBRES'!A50</f>
        <v>TSP-2027-046</v>
      </c>
      <c r="B49" s="26">
        <f>'👥 MEMBRES'!B50</f>
        <v>0</v>
      </c>
      <c r="C49" s="26">
        <f>'👥 MEMBRES'!C50</f>
        <v>0</v>
      </c>
      <c r="D49" s="19">
        <f>IF('👥 MEMBRES'!K50="",0,'👥 MEMBRES'!K50)</f>
        <v>0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1">
        <f t="shared" si="4"/>
        <v>0</v>
      </c>
      <c r="BF49" s="22">
        <f t="shared" si="5"/>
        <v>0</v>
      </c>
      <c r="BG49" s="23">
        <f t="shared" si="6"/>
        <v>0</v>
      </c>
      <c r="BH49" s="24">
        <f>SUMIF('⚠️ PÉNALITÉS'!B:B,A49,'⚠️ PÉNALITÉS'!G:G)</f>
        <v>0</v>
      </c>
      <c r="BI49" s="28" t="str">
        <f t="shared" si="7"/>
        <v>— Non défini</v>
      </c>
    </row>
    <row r="50" spans="1:61" ht="19.5" customHeight="1" x14ac:dyDescent="0.3">
      <c r="A50" s="17" t="str">
        <f>'👥 MEMBRES'!A51</f>
        <v>TSP-2027-047</v>
      </c>
      <c r="B50" s="18">
        <f>'👥 MEMBRES'!B51</f>
        <v>0</v>
      </c>
      <c r="C50" s="18">
        <f>'👥 MEMBRES'!C51</f>
        <v>0</v>
      </c>
      <c r="D50" s="19">
        <f>IF('👥 MEMBRES'!K51="",0,'👥 MEMBRES'!K51)</f>
        <v>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1">
        <f t="shared" si="4"/>
        <v>0</v>
      </c>
      <c r="BF50" s="22">
        <f t="shared" si="5"/>
        <v>0</v>
      </c>
      <c r="BG50" s="23">
        <f t="shared" si="6"/>
        <v>0</v>
      </c>
      <c r="BH50" s="24">
        <f>SUMIF('⚠️ PÉNALITÉS'!B:B,A50,'⚠️ PÉNALITÉS'!G:G)</f>
        <v>0</v>
      </c>
      <c r="BI50" s="25" t="str">
        <f t="shared" si="7"/>
        <v>— Non défini</v>
      </c>
    </row>
    <row r="51" spans="1:61" ht="19.5" customHeight="1" x14ac:dyDescent="0.3">
      <c r="A51" s="17" t="str">
        <f>'👥 MEMBRES'!A52</f>
        <v>TSP-2027-048</v>
      </c>
      <c r="B51" s="26">
        <f>'👥 MEMBRES'!B52</f>
        <v>0</v>
      </c>
      <c r="C51" s="26">
        <f>'👥 MEMBRES'!C52</f>
        <v>0</v>
      </c>
      <c r="D51" s="19">
        <f>IF('👥 MEMBRES'!K52="",0,'👥 MEMBRES'!K52)</f>
        <v>0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1">
        <f t="shared" si="4"/>
        <v>0</v>
      </c>
      <c r="BF51" s="22">
        <f t="shared" si="5"/>
        <v>0</v>
      </c>
      <c r="BG51" s="23">
        <f t="shared" si="6"/>
        <v>0</v>
      </c>
      <c r="BH51" s="24">
        <f>SUMIF('⚠️ PÉNALITÉS'!B:B,A51,'⚠️ PÉNALITÉS'!G:G)</f>
        <v>0</v>
      </c>
      <c r="BI51" s="28" t="str">
        <f t="shared" si="7"/>
        <v>— Non défini</v>
      </c>
    </row>
    <row r="52" spans="1:61" ht="19.5" customHeight="1" x14ac:dyDescent="0.3">
      <c r="A52" s="17" t="str">
        <f>'👥 MEMBRES'!A53</f>
        <v>TSP-2027-049</v>
      </c>
      <c r="B52" s="18">
        <f>'👥 MEMBRES'!B53</f>
        <v>0</v>
      </c>
      <c r="C52" s="18">
        <f>'👥 MEMBRES'!C53</f>
        <v>0</v>
      </c>
      <c r="D52" s="19">
        <f>IF('👥 MEMBRES'!K53="",0,'👥 MEMBRES'!K53)</f>
        <v>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1">
        <f t="shared" si="4"/>
        <v>0</v>
      </c>
      <c r="BF52" s="22">
        <f t="shared" si="5"/>
        <v>0</v>
      </c>
      <c r="BG52" s="23">
        <f t="shared" si="6"/>
        <v>0</v>
      </c>
      <c r="BH52" s="24">
        <f>SUMIF('⚠️ PÉNALITÉS'!B:B,A52,'⚠️ PÉNALITÉS'!G:G)</f>
        <v>0</v>
      </c>
      <c r="BI52" s="25" t="str">
        <f t="shared" si="7"/>
        <v>— Non défini</v>
      </c>
    </row>
    <row r="53" spans="1:61" ht="19.5" customHeight="1" x14ac:dyDescent="0.3">
      <c r="A53" s="17" t="str">
        <f>'👥 MEMBRES'!A54</f>
        <v>TSP-2027-050</v>
      </c>
      <c r="B53" s="26">
        <f>'👥 MEMBRES'!B54</f>
        <v>0</v>
      </c>
      <c r="C53" s="26">
        <f>'👥 MEMBRES'!C54</f>
        <v>0</v>
      </c>
      <c r="D53" s="19">
        <f>IF('👥 MEMBRES'!K54="",0,'👥 MEMBRES'!K54)</f>
        <v>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1">
        <f t="shared" si="4"/>
        <v>0</v>
      </c>
      <c r="BF53" s="22">
        <f t="shared" si="5"/>
        <v>0</v>
      </c>
      <c r="BG53" s="23">
        <f t="shared" si="6"/>
        <v>0</v>
      </c>
      <c r="BH53" s="24">
        <f>SUMIF('⚠️ PÉNALITÉS'!B:B,A53,'⚠️ PÉNALITÉS'!G:G)</f>
        <v>0</v>
      </c>
      <c r="BI53" s="28" t="str">
        <f t="shared" si="7"/>
        <v>— Non défini</v>
      </c>
    </row>
    <row r="54" spans="1:61" ht="24" customHeight="1" x14ac:dyDescent="0.3">
      <c r="A54" s="104" t="s">
        <v>126</v>
      </c>
      <c r="B54" s="104"/>
      <c r="C54" s="104"/>
      <c r="D54" s="104"/>
      <c r="E54" s="29">
        <f t="shared" ref="E54:AJ54" si="8">SUM(E4:E53)</f>
        <v>0</v>
      </c>
      <c r="F54" s="29">
        <f t="shared" si="8"/>
        <v>0</v>
      </c>
      <c r="G54" s="29">
        <f t="shared" si="8"/>
        <v>0</v>
      </c>
      <c r="H54" s="29">
        <f t="shared" si="8"/>
        <v>0</v>
      </c>
      <c r="I54" s="29">
        <f t="shared" si="8"/>
        <v>0</v>
      </c>
      <c r="J54" s="29">
        <f t="shared" si="8"/>
        <v>0</v>
      </c>
      <c r="K54" s="29">
        <f t="shared" si="8"/>
        <v>0</v>
      </c>
      <c r="L54" s="29">
        <f t="shared" si="8"/>
        <v>0</v>
      </c>
      <c r="M54" s="29">
        <f t="shared" si="8"/>
        <v>0</v>
      </c>
      <c r="N54" s="29">
        <f t="shared" si="8"/>
        <v>0</v>
      </c>
      <c r="O54" s="29">
        <f t="shared" si="8"/>
        <v>0</v>
      </c>
      <c r="P54" s="29">
        <f t="shared" si="8"/>
        <v>0</v>
      </c>
      <c r="Q54" s="29">
        <f t="shared" si="8"/>
        <v>0</v>
      </c>
      <c r="R54" s="29">
        <f t="shared" si="8"/>
        <v>0</v>
      </c>
      <c r="S54" s="29">
        <f t="shared" si="8"/>
        <v>0</v>
      </c>
      <c r="T54" s="29">
        <f t="shared" si="8"/>
        <v>0</v>
      </c>
      <c r="U54" s="29">
        <f t="shared" si="8"/>
        <v>0</v>
      </c>
      <c r="V54" s="29">
        <f t="shared" si="8"/>
        <v>0</v>
      </c>
      <c r="W54" s="29">
        <f t="shared" si="8"/>
        <v>0</v>
      </c>
      <c r="X54" s="29">
        <f t="shared" si="8"/>
        <v>0</v>
      </c>
      <c r="Y54" s="29">
        <f t="shared" si="8"/>
        <v>0</v>
      </c>
      <c r="Z54" s="29">
        <f t="shared" si="8"/>
        <v>0</v>
      </c>
      <c r="AA54" s="29">
        <f t="shared" si="8"/>
        <v>0</v>
      </c>
      <c r="AB54" s="29">
        <f t="shared" si="8"/>
        <v>0</v>
      </c>
      <c r="AC54" s="29">
        <f t="shared" si="8"/>
        <v>0</v>
      </c>
      <c r="AD54" s="29">
        <f t="shared" si="8"/>
        <v>0</v>
      </c>
      <c r="AE54" s="29">
        <f t="shared" si="8"/>
        <v>0</v>
      </c>
      <c r="AF54" s="29">
        <f t="shared" si="8"/>
        <v>0</v>
      </c>
      <c r="AG54" s="29">
        <f t="shared" si="8"/>
        <v>0</v>
      </c>
      <c r="AH54" s="29">
        <f t="shared" si="8"/>
        <v>0</v>
      </c>
      <c r="AI54" s="29">
        <f t="shared" si="8"/>
        <v>0</v>
      </c>
      <c r="AJ54" s="29">
        <f t="shared" si="8"/>
        <v>0</v>
      </c>
      <c r="AK54" s="29">
        <f t="shared" ref="AK54:BE54" si="9">SUM(AK4:AK53)</f>
        <v>0</v>
      </c>
      <c r="AL54" s="29">
        <f t="shared" si="9"/>
        <v>0</v>
      </c>
      <c r="AM54" s="29">
        <f t="shared" si="9"/>
        <v>0</v>
      </c>
      <c r="AN54" s="29">
        <f t="shared" si="9"/>
        <v>0</v>
      </c>
      <c r="AO54" s="29">
        <f t="shared" si="9"/>
        <v>0</v>
      </c>
      <c r="AP54" s="29">
        <f t="shared" si="9"/>
        <v>0</v>
      </c>
      <c r="AQ54" s="29">
        <f t="shared" si="9"/>
        <v>0</v>
      </c>
      <c r="AR54" s="29">
        <f t="shared" si="9"/>
        <v>0</v>
      </c>
      <c r="AS54" s="29">
        <f t="shared" si="9"/>
        <v>0</v>
      </c>
      <c r="AT54" s="29">
        <f t="shared" si="9"/>
        <v>0</v>
      </c>
      <c r="AU54" s="29">
        <f t="shared" si="9"/>
        <v>0</v>
      </c>
      <c r="AV54" s="29">
        <f t="shared" si="9"/>
        <v>0</v>
      </c>
      <c r="AW54" s="29">
        <f t="shared" si="9"/>
        <v>0</v>
      </c>
      <c r="AX54" s="29">
        <f t="shared" si="9"/>
        <v>0</v>
      </c>
      <c r="AY54" s="29">
        <f t="shared" si="9"/>
        <v>0</v>
      </c>
      <c r="AZ54" s="29">
        <f t="shared" si="9"/>
        <v>0</v>
      </c>
      <c r="BA54" s="29">
        <f t="shared" si="9"/>
        <v>0</v>
      </c>
      <c r="BB54" s="29">
        <f t="shared" si="9"/>
        <v>0</v>
      </c>
      <c r="BC54" s="29">
        <f t="shared" si="9"/>
        <v>0</v>
      </c>
      <c r="BD54" s="29">
        <f t="shared" si="9"/>
        <v>0</v>
      </c>
      <c r="BE54" s="30">
        <f t="shared" si="9"/>
        <v>0</v>
      </c>
      <c r="BF54" s="31"/>
      <c r="BG54" s="31"/>
      <c r="BH54" s="31"/>
      <c r="BI54" s="31"/>
    </row>
  </sheetData>
  <mergeCells count="14">
    <mergeCell ref="A54:D54"/>
    <mergeCell ref="A1:BI1"/>
    <mergeCell ref="E2:I2"/>
    <mergeCell ref="J2:M2"/>
    <mergeCell ref="N2:Q2"/>
    <mergeCell ref="R2:U2"/>
    <mergeCell ref="V2:Z2"/>
    <mergeCell ref="AA2:AD2"/>
    <mergeCell ref="AE2:AH2"/>
    <mergeCell ref="AI2:AM2"/>
    <mergeCell ref="AN2:AQ2"/>
    <mergeCell ref="AR2:AV2"/>
    <mergeCell ref="AW2:AZ2"/>
    <mergeCell ref="BA2:BD2"/>
  </mergeCells>
  <conditionalFormatting sqref="BI4:BI53">
    <cfRule type="expression" dxfId="7" priority="2">
      <formula>ISNUMBER(SEARCH("Conforme",BI4))</formula>
    </cfRule>
    <cfRule type="expression" dxfId="6" priority="3">
      <formula>ISNUMBER(SEARCH("Insuffisant",BI4))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R64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3" sqref="H3"/>
    </sheetView>
  </sheetViews>
  <sheetFormatPr baseColWidth="10" defaultColWidth="8.6640625" defaultRowHeight="14.4" x14ac:dyDescent="0.3"/>
  <cols>
    <col min="1" max="1" width="18.77734375" customWidth="1"/>
    <col min="2" max="2" width="14" customWidth="1"/>
    <col min="3" max="3" width="18" customWidth="1"/>
    <col min="4" max="4" width="20" customWidth="1"/>
    <col min="5" max="5" width="13" customWidth="1"/>
    <col min="6" max="6" width="14" customWidth="1"/>
    <col min="7" max="7" width="12" customWidth="1"/>
    <col min="8" max="8" width="20" customWidth="1"/>
    <col min="9" max="9" width="14" customWidth="1"/>
    <col min="10" max="10" width="20" customWidth="1"/>
    <col min="11" max="14" width="13" customWidth="1"/>
    <col min="15" max="15" width="14" customWidth="1"/>
    <col min="16" max="16" width="12" customWidth="1"/>
    <col min="17" max="17" width="13" customWidth="1"/>
    <col min="18" max="18" width="14" customWidth="1"/>
  </cols>
  <sheetData>
    <row r="1" spans="1:18" ht="31.5" customHeight="1" x14ac:dyDescent="0.3">
      <c r="A1" s="101" t="s">
        <v>127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</row>
    <row r="2" spans="1:18" x14ac:dyDescent="0.3">
      <c r="A2" s="117" t="s">
        <v>128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</row>
    <row r="3" spans="1:18" ht="39.75" customHeight="1" x14ac:dyDescent="0.3">
      <c r="A3" s="1" t="s">
        <v>129</v>
      </c>
      <c r="B3" s="1" t="s">
        <v>42</v>
      </c>
      <c r="C3" s="1" t="s">
        <v>43</v>
      </c>
      <c r="D3" s="1" t="s">
        <v>44</v>
      </c>
      <c r="E3" s="1" t="s">
        <v>130</v>
      </c>
      <c r="F3" s="1" t="s">
        <v>131</v>
      </c>
      <c r="G3" s="1" t="s">
        <v>132</v>
      </c>
      <c r="H3" s="1" t="s">
        <v>133</v>
      </c>
      <c r="I3" s="1" t="s">
        <v>134</v>
      </c>
      <c r="J3" s="1" t="s">
        <v>135</v>
      </c>
      <c r="K3" s="1" t="s">
        <v>136</v>
      </c>
      <c r="L3" s="1" t="s">
        <v>137</v>
      </c>
      <c r="M3" s="1" t="s">
        <v>138</v>
      </c>
      <c r="N3" s="1" t="s">
        <v>139</v>
      </c>
      <c r="O3" s="1" t="s">
        <v>140</v>
      </c>
      <c r="P3" s="1" t="s">
        <v>141</v>
      </c>
      <c r="Q3" s="1" t="s">
        <v>142</v>
      </c>
      <c r="R3" s="68" t="s">
        <v>51</v>
      </c>
    </row>
    <row r="4" spans="1:18" ht="21.75" customHeight="1" x14ac:dyDescent="0.3">
      <c r="A4" s="10" t="s">
        <v>143</v>
      </c>
      <c r="B4" s="32" t="s">
        <v>1291</v>
      </c>
      <c r="C4" s="32"/>
      <c r="D4" s="32"/>
      <c r="E4" s="32"/>
      <c r="F4" s="32"/>
      <c r="G4" s="33">
        <f>IF(F4="",0,F4*'⚙️ PARAMÈTRES'!B10)</f>
        <v>0</v>
      </c>
      <c r="H4" s="32"/>
      <c r="I4" s="32"/>
      <c r="J4" s="32"/>
      <c r="K4" s="32"/>
      <c r="L4" s="23">
        <f>IF(F4="",0,F4*'⚙️ PARAMÈTRES'!B4)</f>
        <v>0</v>
      </c>
      <c r="M4" s="23">
        <f>IF(F4="",0,F4*'⚙️ PARAMÈTRES'!B4*2)</f>
        <v>0</v>
      </c>
      <c r="N4" s="24">
        <f ca="1">IF(OR(F4="",K4=""),0,IF(AND(R4&lt;&gt;"Soldé",TODAY()&gt;K4+60),(F4-P4)*'⚙️ PARAMÈTRES'!B5*MAX(0,DATEDIF(K4,TODAY(),"M")-2),0))</f>
        <v>0</v>
      </c>
      <c r="O4" s="34">
        <f t="shared" ref="O4:O35" si="0">IF(F4="",0,F4+G4+L4+N4)</f>
        <v>0</v>
      </c>
      <c r="P4" s="21">
        <f>SUMIF('🔄 REMBOURSEMENTS'!B:B,A4,'🔄 REMBOURSEMENTS'!F:F)</f>
        <v>0</v>
      </c>
      <c r="Q4" s="35">
        <f t="shared" ref="Q4:Q35" si="1">MAX(0,O4-P4)</f>
        <v>0</v>
      </c>
      <c r="R4" s="25" t="str">
        <f t="shared" ref="R4:R35" ca="1" si="2">IF(F4="","—",IF(Q4=0,"✅ Soldé",IF(AND(K4&lt;&gt;"",TODAY()&gt;K4+60),"🔴 Impayé",IF(AND(K4&lt;&gt;"",TODAY()&gt;K4),"⚠️ En retard","🔵 En cours"))))</f>
        <v>—</v>
      </c>
    </row>
    <row r="5" spans="1:18" ht="21.75" customHeight="1" x14ac:dyDescent="0.3">
      <c r="A5" s="10" t="s">
        <v>144</v>
      </c>
      <c r="B5" s="36"/>
      <c r="C5" s="36"/>
      <c r="D5" s="36"/>
      <c r="E5" s="36"/>
      <c r="F5" s="36"/>
      <c r="G5" s="33">
        <f>IF(F5="",0,F5*'⚙️ PARAMÈTRES'!B10)</f>
        <v>0</v>
      </c>
      <c r="H5" s="36"/>
      <c r="I5" s="36"/>
      <c r="J5" s="36"/>
      <c r="K5" s="36"/>
      <c r="L5" s="23">
        <f>IF(F5="",0,F5*'⚙️ PARAMÈTRES'!B4)</f>
        <v>0</v>
      </c>
      <c r="M5" s="23">
        <f>IF(F5="",0,F5*'⚙️ PARAMÈTRES'!B4*2)</f>
        <v>0</v>
      </c>
      <c r="N5" s="24">
        <f ca="1">IF(OR(F5="",K5=""),0,IF(AND(R5&lt;&gt;"Soldé",TODAY()&gt;K5+60),(F5-P5)*'⚙️ PARAMÈTRES'!B5*MAX(0,DATEDIF(K5,TODAY(),"M")-2),0))</f>
        <v>0</v>
      </c>
      <c r="O5" s="34">
        <f t="shared" si="0"/>
        <v>0</v>
      </c>
      <c r="P5" s="21">
        <f>SUMIF('🔄 REMBOURSEMENTS'!B:B,A5,'🔄 REMBOURSEMENTS'!F:F)</f>
        <v>0</v>
      </c>
      <c r="Q5" s="35">
        <f t="shared" si="1"/>
        <v>0</v>
      </c>
      <c r="R5" s="28" t="str">
        <f t="shared" ca="1" si="2"/>
        <v>—</v>
      </c>
    </row>
    <row r="6" spans="1:18" ht="21.75" customHeight="1" x14ac:dyDescent="0.3">
      <c r="A6" s="10" t="s">
        <v>145</v>
      </c>
      <c r="B6" s="32"/>
      <c r="C6" s="32"/>
      <c r="D6" s="32"/>
      <c r="E6" s="32"/>
      <c r="F6" s="32"/>
      <c r="G6" s="33">
        <f>IF(F6="",0,F6*'⚙️ PARAMÈTRES'!B10)</f>
        <v>0</v>
      </c>
      <c r="H6" s="32"/>
      <c r="I6" s="32"/>
      <c r="J6" s="32"/>
      <c r="K6" s="32"/>
      <c r="L6" s="23">
        <f>IF(F6="",0,F6*'⚙️ PARAMÈTRES'!B4)</f>
        <v>0</v>
      </c>
      <c r="M6" s="23">
        <f>IF(F6="",0,F6*'⚙️ PARAMÈTRES'!B4*2)</f>
        <v>0</v>
      </c>
      <c r="N6" s="24">
        <f ca="1">IF(OR(F6="",K6=""),0,IF(AND(R6&lt;&gt;"Soldé",TODAY()&gt;K6+60),(F6-P6)*'⚙️ PARAMÈTRES'!B5*MAX(0,DATEDIF(K6,TODAY(),"M")-2),0))</f>
        <v>0</v>
      </c>
      <c r="O6" s="34">
        <f t="shared" si="0"/>
        <v>0</v>
      </c>
      <c r="P6" s="21">
        <f>SUMIF('🔄 REMBOURSEMENTS'!B:B,A6,'🔄 REMBOURSEMENTS'!F:F)</f>
        <v>0</v>
      </c>
      <c r="Q6" s="35">
        <f t="shared" si="1"/>
        <v>0</v>
      </c>
      <c r="R6" s="25" t="str">
        <f t="shared" ca="1" si="2"/>
        <v>—</v>
      </c>
    </row>
    <row r="7" spans="1:18" ht="21.75" customHeight="1" x14ac:dyDescent="0.3">
      <c r="A7" s="10" t="s">
        <v>146</v>
      </c>
      <c r="B7" s="36"/>
      <c r="C7" s="36"/>
      <c r="D7" s="36"/>
      <c r="E7" s="36"/>
      <c r="F7" s="36"/>
      <c r="G7" s="33">
        <f>IF(F7="",0,F7*'⚙️ PARAMÈTRES'!B10)</f>
        <v>0</v>
      </c>
      <c r="H7" s="36"/>
      <c r="I7" s="36"/>
      <c r="J7" s="36"/>
      <c r="K7" s="36"/>
      <c r="L7" s="23">
        <f>IF(F7="",0,F7*'⚙️ PARAMÈTRES'!B4)</f>
        <v>0</v>
      </c>
      <c r="M7" s="23">
        <f>IF(F7="",0,F7*'⚙️ PARAMÈTRES'!B4*2)</f>
        <v>0</v>
      </c>
      <c r="N7" s="24">
        <f ca="1">IF(OR(F7="",K7=""),0,IF(AND(R7&lt;&gt;"Soldé",TODAY()&gt;K7+60),(F7-P7)*'⚙️ PARAMÈTRES'!B5*MAX(0,DATEDIF(K7,TODAY(),"M")-2),0))</f>
        <v>0</v>
      </c>
      <c r="O7" s="34">
        <f t="shared" si="0"/>
        <v>0</v>
      </c>
      <c r="P7" s="21">
        <f>SUMIF('🔄 REMBOURSEMENTS'!B:B,A7,'🔄 REMBOURSEMENTS'!F:F)</f>
        <v>0</v>
      </c>
      <c r="Q7" s="35">
        <f t="shared" si="1"/>
        <v>0</v>
      </c>
      <c r="R7" s="28" t="str">
        <f t="shared" ca="1" si="2"/>
        <v>—</v>
      </c>
    </row>
    <row r="8" spans="1:18" ht="21.75" customHeight="1" x14ac:dyDescent="0.3">
      <c r="A8" s="10" t="s">
        <v>147</v>
      </c>
      <c r="B8" s="32"/>
      <c r="C8" s="32"/>
      <c r="D8" s="32"/>
      <c r="E8" s="32"/>
      <c r="F8" s="32"/>
      <c r="G8" s="33">
        <f>IF(F8="",0,F8*'⚙️ PARAMÈTRES'!B10)</f>
        <v>0</v>
      </c>
      <c r="H8" s="32"/>
      <c r="I8" s="32"/>
      <c r="J8" s="32"/>
      <c r="K8" s="32"/>
      <c r="L8" s="23">
        <f>IF(F8="",0,F8*'⚙️ PARAMÈTRES'!B4)</f>
        <v>0</v>
      </c>
      <c r="M8" s="23">
        <f>IF(F8="",0,F8*'⚙️ PARAMÈTRES'!B4*2)</f>
        <v>0</v>
      </c>
      <c r="N8" s="24">
        <f ca="1">IF(OR(F8="",K8=""),0,IF(AND(R8&lt;&gt;"Soldé",TODAY()&gt;K8+60),(F8-P8)*'⚙️ PARAMÈTRES'!B5*MAX(0,DATEDIF(K8,TODAY(),"M")-2),0))</f>
        <v>0</v>
      </c>
      <c r="O8" s="34">
        <f t="shared" si="0"/>
        <v>0</v>
      </c>
      <c r="P8" s="21">
        <f>SUMIF('🔄 REMBOURSEMENTS'!B:B,A8,'🔄 REMBOURSEMENTS'!F:F)</f>
        <v>0</v>
      </c>
      <c r="Q8" s="35">
        <f t="shared" si="1"/>
        <v>0</v>
      </c>
      <c r="R8" s="25" t="str">
        <f t="shared" ca="1" si="2"/>
        <v>—</v>
      </c>
    </row>
    <row r="9" spans="1:18" ht="21.75" customHeight="1" x14ac:dyDescent="0.3">
      <c r="A9" s="10" t="s">
        <v>148</v>
      </c>
      <c r="B9" s="36"/>
      <c r="C9" s="36"/>
      <c r="D9" s="36"/>
      <c r="E9" s="36"/>
      <c r="F9" s="36"/>
      <c r="G9" s="33">
        <f>IF(F9="",0,F9*'⚙️ PARAMÈTRES'!B10)</f>
        <v>0</v>
      </c>
      <c r="H9" s="36"/>
      <c r="I9" s="36"/>
      <c r="J9" s="36"/>
      <c r="K9" s="36"/>
      <c r="L9" s="23">
        <f>IF(F9="",0,F9*'⚙️ PARAMÈTRES'!B4)</f>
        <v>0</v>
      </c>
      <c r="M9" s="23">
        <f>IF(F9="",0,F9*'⚙️ PARAMÈTRES'!B4*2)</f>
        <v>0</v>
      </c>
      <c r="N9" s="24">
        <f ca="1">IF(OR(F9="",K9=""),0,IF(AND(R9&lt;&gt;"Soldé",TODAY()&gt;K9+60),(F9-P9)*'⚙️ PARAMÈTRES'!B5*MAX(0,DATEDIF(K9,TODAY(),"M")-2),0))</f>
        <v>0</v>
      </c>
      <c r="O9" s="34">
        <f t="shared" si="0"/>
        <v>0</v>
      </c>
      <c r="P9" s="21">
        <f>SUMIF('🔄 REMBOURSEMENTS'!B:B,A9,'🔄 REMBOURSEMENTS'!F:F)</f>
        <v>0</v>
      </c>
      <c r="Q9" s="35">
        <f t="shared" si="1"/>
        <v>0</v>
      </c>
      <c r="R9" s="28" t="str">
        <f t="shared" ca="1" si="2"/>
        <v>—</v>
      </c>
    </row>
    <row r="10" spans="1:18" ht="21.75" customHeight="1" x14ac:dyDescent="0.3">
      <c r="A10" s="10" t="s">
        <v>149</v>
      </c>
      <c r="B10" s="32"/>
      <c r="C10" s="32"/>
      <c r="D10" s="32"/>
      <c r="E10" s="32"/>
      <c r="F10" s="32"/>
      <c r="G10" s="33">
        <f>IF(F10="",0,F10*'⚙️ PARAMÈTRES'!B10)</f>
        <v>0</v>
      </c>
      <c r="H10" s="32"/>
      <c r="I10" s="32"/>
      <c r="J10" s="32"/>
      <c r="K10" s="32"/>
      <c r="L10" s="23">
        <f>IF(F10="",0,F10*'⚙️ PARAMÈTRES'!B4)</f>
        <v>0</v>
      </c>
      <c r="M10" s="23">
        <f>IF(F10="",0,F10*'⚙️ PARAMÈTRES'!B4*2)</f>
        <v>0</v>
      </c>
      <c r="N10" s="24">
        <f ca="1">IF(OR(F10="",K10=""),0,IF(AND(R10&lt;&gt;"Soldé",TODAY()&gt;K10+60),(F10-P10)*'⚙️ PARAMÈTRES'!B5*MAX(0,DATEDIF(K10,TODAY(),"M")-2),0))</f>
        <v>0</v>
      </c>
      <c r="O10" s="34">
        <f t="shared" si="0"/>
        <v>0</v>
      </c>
      <c r="P10" s="21">
        <f>SUMIF('🔄 REMBOURSEMENTS'!B:B,A10,'🔄 REMBOURSEMENTS'!F:F)</f>
        <v>0</v>
      </c>
      <c r="Q10" s="35">
        <f t="shared" si="1"/>
        <v>0</v>
      </c>
      <c r="R10" s="25" t="str">
        <f t="shared" ca="1" si="2"/>
        <v>—</v>
      </c>
    </row>
    <row r="11" spans="1:18" ht="21.75" customHeight="1" x14ac:dyDescent="0.3">
      <c r="A11" s="10" t="s">
        <v>150</v>
      </c>
      <c r="B11" s="36"/>
      <c r="C11" s="36"/>
      <c r="D11" s="36"/>
      <c r="E11" s="36"/>
      <c r="F11" s="36"/>
      <c r="G11" s="33">
        <f>IF(F11="",0,F11*'⚙️ PARAMÈTRES'!B10)</f>
        <v>0</v>
      </c>
      <c r="H11" s="36"/>
      <c r="I11" s="36"/>
      <c r="J11" s="36"/>
      <c r="K11" s="36"/>
      <c r="L11" s="23">
        <f>IF(F11="",0,F11*'⚙️ PARAMÈTRES'!B4)</f>
        <v>0</v>
      </c>
      <c r="M11" s="23">
        <f>IF(F11="",0,F11*'⚙️ PARAMÈTRES'!B4*2)</f>
        <v>0</v>
      </c>
      <c r="N11" s="24">
        <f ca="1">IF(OR(F11="",K11=""),0,IF(AND(R11&lt;&gt;"Soldé",TODAY()&gt;K11+60),(F11-P11)*'⚙️ PARAMÈTRES'!B5*MAX(0,DATEDIF(K11,TODAY(),"M")-2),0))</f>
        <v>0</v>
      </c>
      <c r="O11" s="34">
        <f t="shared" si="0"/>
        <v>0</v>
      </c>
      <c r="P11" s="21">
        <f>SUMIF('🔄 REMBOURSEMENTS'!B:B,A11,'🔄 REMBOURSEMENTS'!F:F)</f>
        <v>0</v>
      </c>
      <c r="Q11" s="35">
        <f t="shared" si="1"/>
        <v>0</v>
      </c>
      <c r="R11" s="28" t="str">
        <f t="shared" ca="1" si="2"/>
        <v>—</v>
      </c>
    </row>
    <row r="12" spans="1:18" ht="21.75" customHeight="1" x14ac:dyDescent="0.3">
      <c r="A12" s="10" t="s">
        <v>151</v>
      </c>
      <c r="B12" s="32"/>
      <c r="C12" s="32"/>
      <c r="D12" s="32"/>
      <c r="E12" s="32"/>
      <c r="F12" s="32"/>
      <c r="G12" s="33">
        <f>IF(F12="",0,F12*'⚙️ PARAMÈTRES'!B10)</f>
        <v>0</v>
      </c>
      <c r="H12" s="32"/>
      <c r="I12" s="32"/>
      <c r="J12" s="32"/>
      <c r="K12" s="32"/>
      <c r="L12" s="23">
        <f>IF(F12="",0,F12*'⚙️ PARAMÈTRES'!B4)</f>
        <v>0</v>
      </c>
      <c r="M12" s="23">
        <f>IF(F12="",0,F12*'⚙️ PARAMÈTRES'!B4*2)</f>
        <v>0</v>
      </c>
      <c r="N12" s="24">
        <f ca="1">IF(OR(F12="",K12=""),0,IF(AND(R12&lt;&gt;"Soldé",TODAY()&gt;K12+60),(F12-P12)*'⚙️ PARAMÈTRES'!B5*MAX(0,DATEDIF(K12,TODAY(),"M")-2),0))</f>
        <v>0</v>
      </c>
      <c r="O12" s="34">
        <f t="shared" si="0"/>
        <v>0</v>
      </c>
      <c r="P12" s="21">
        <f>SUMIF('🔄 REMBOURSEMENTS'!B:B,A12,'🔄 REMBOURSEMENTS'!F:F)</f>
        <v>0</v>
      </c>
      <c r="Q12" s="35">
        <f t="shared" si="1"/>
        <v>0</v>
      </c>
      <c r="R12" s="25" t="str">
        <f t="shared" ca="1" si="2"/>
        <v>—</v>
      </c>
    </row>
    <row r="13" spans="1:18" ht="21.75" customHeight="1" x14ac:dyDescent="0.3">
      <c r="A13" s="10" t="s">
        <v>152</v>
      </c>
      <c r="B13" s="36"/>
      <c r="C13" s="36"/>
      <c r="D13" s="36"/>
      <c r="E13" s="36"/>
      <c r="F13" s="36"/>
      <c r="G13" s="33">
        <f>IF(F13="",0,F13*'⚙️ PARAMÈTRES'!B10)</f>
        <v>0</v>
      </c>
      <c r="H13" s="36"/>
      <c r="I13" s="36"/>
      <c r="J13" s="36"/>
      <c r="K13" s="36"/>
      <c r="L13" s="23">
        <f>IF(F13="",0,F13*'⚙️ PARAMÈTRES'!B4)</f>
        <v>0</v>
      </c>
      <c r="M13" s="23">
        <f>IF(F13="",0,F13*'⚙️ PARAMÈTRES'!B4*2)</f>
        <v>0</v>
      </c>
      <c r="N13" s="24">
        <f ca="1">IF(OR(F13="",K13=""),0,IF(AND(R13&lt;&gt;"Soldé",TODAY()&gt;K13+60),(F13-P13)*'⚙️ PARAMÈTRES'!B5*MAX(0,DATEDIF(K13,TODAY(),"M")-2),0))</f>
        <v>0</v>
      </c>
      <c r="O13" s="34">
        <f t="shared" si="0"/>
        <v>0</v>
      </c>
      <c r="P13" s="21">
        <f>SUMIF('🔄 REMBOURSEMENTS'!B:B,A13,'🔄 REMBOURSEMENTS'!F:F)</f>
        <v>0</v>
      </c>
      <c r="Q13" s="35">
        <f t="shared" si="1"/>
        <v>0</v>
      </c>
      <c r="R13" s="28" t="str">
        <f t="shared" ca="1" si="2"/>
        <v>—</v>
      </c>
    </row>
    <row r="14" spans="1:18" ht="21.75" customHeight="1" x14ac:dyDescent="0.3">
      <c r="A14" s="10" t="s">
        <v>153</v>
      </c>
      <c r="B14" s="32"/>
      <c r="C14" s="32"/>
      <c r="D14" s="32"/>
      <c r="E14" s="32"/>
      <c r="F14" s="32"/>
      <c r="G14" s="33">
        <f>IF(F14="",0,F14*'⚙️ PARAMÈTRES'!B10)</f>
        <v>0</v>
      </c>
      <c r="H14" s="32"/>
      <c r="I14" s="32"/>
      <c r="J14" s="32"/>
      <c r="K14" s="32"/>
      <c r="L14" s="23">
        <f>IF(F14="",0,F14*'⚙️ PARAMÈTRES'!B4)</f>
        <v>0</v>
      </c>
      <c r="M14" s="23">
        <f>IF(F14="",0,F14*'⚙️ PARAMÈTRES'!B4*2)</f>
        <v>0</v>
      </c>
      <c r="N14" s="24">
        <f ca="1">IF(OR(F14="",K14=""),0,IF(AND(R14&lt;&gt;"Soldé",TODAY()&gt;K14+60),(F14-P14)*'⚙️ PARAMÈTRES'!B5*MAX(0,DATEDIF(K14,TODAY(),"M")-2),0))</f>
        <v>0</v>
      </c>
      <c r="O14" s="34">
        <f t="shared" si="0"/>
        <v>0</v>
      </c>
      <c r="P14" s="21">
        <f>SUMIF('🔄 REMBOURSEMENTS'!B:B,A14,'🔄 REMBOURSEMENTS'!F:F)</f>
        <v>0</v>
      </c>
      <c r="Q14" s="35">
        <f t="shared" si="1"/>
        <v>0</v>
      </c>
      <c r="R14" s="25" t="str">
        <f t="shared" ca="1" si="2"/>
        <v>—</v>
      </c>
    </row>
    <row r="15" spans="1:18" ht="21.75" customHeight="1" x14ac:dyDescent="0.3">
      <c r="A15" s="10" t="s">
        <v>154</v>
      </c>
      <c r="B15" s="36"/>
      <c r="C15" s="36"/>
      <c r="D15" s="36"/>
      <c r="E15" s="36"/>
      <c r="F15" s="36"/>
      <c r="G15" s="33">
        <f>IF(F15="",0,F15*'⚙️ PARAMÈTRES'!B10)</f>
        <v>0</v>
      </c>
      <c r="H15" s="36"/>
      <c r="I15" s="36"/>
      <c r="J15" s="36"/>
      <c r="K15" s="36"/>
      <c r="L15" s="23">
        <f>IF(F15="",0,F15*'⚙️ PARAMÈTRES'!B4)</f>
        <v>0</v>
      </c>
      <c r="M15" s="23">
        <f>IF(F15="",0,F15*'⚙️ PARAMÈTRES'!B4*2)</f>
        <v>0</v>
      </c>
      <c r="N15" s="24">
        <f ca="1">IF(OR(F15="",K15=""),0,IF(AND(R15&lt;&gt;"Soldé",TODAY()&gt;K15+60),(F15-P15)*'⚙️ PARAMÈTRES'!B5*MAX(0,DATEDIF(K15,TODAY(),"M")-2),0))</f>
        <v>0</v>
      </c>
      <c r="O15" s="34">
        <f t="shared" si="0"/>
        <v>0</v>
      </c>
      <c r="P15" s="21">
        <f>SUMIF('🔄 REMBOURSEMENTS'!B:B,A15,'🔄 REMBOURSEMENTS'!F:F)</f>
        <v>0</v>
      </c>
      <c r="Q15" s="35">
        <f t="shared" si="1"/>
        <v>0</v>
      </c>
      <c r="R15" s="28" t="str">
        <f t="shared" ca="1" si="2"/>
        <v>—</v>
      </c>
    </row>
    <row r="16" spans="1:18" ht="21.75" customHeight="1" x14ac:dyDescent="0.3">
      <c r="A16" s="10" t="s">
        <v>155</v>
      </c>
      <c r="B16" s="32"/>
      <c r="C16" s="32"/>
      <c r="D16" s="32"/>
      <c r="E16" s="32"/>
      <c r="F16" s="32"/>
      <c r="G16" s="33">
        <f>IF(F16="",0,F16*'⚙️ PARAMÈTRES'!B10)</f>
        <v>0</v>
      </c>
      <c r="H16" s="32"/>
      <c r="I16" s="32"/>
      <c r="J16" s="32"/>
      <c r="K16" s="32"/>
      <c r="L16" s="23">
        <f>IF(F16="",0,F16*'⚙️ PARAMÈTRES'!B4)</f>
        <v>0</v>
      </c>
      <c r="M16" s="23">
        <f>IF(F16="",0,F16*'⚙️ PARAMÈTRES'!B4*2)</f>
        <v>0</v>
      </c>
      <c r="N16" s="24">
        <f ca="1">IF(OR(F16="",K16=""),0,IF(AND(R16&lt;&gt;"Soldé",TODAY()&gt;K16+60),(F16-P16)*'⚙️ PARAMÈTRES'!B5*MAX(0,DATEDIF(K16,TODAY(),"M")-2),0))</f>
        <v>0</v>
      </c>
      <c r="O16" s="34">
        <f t="shared" si="0"/>
        <v>0</v>
      </c>
      <c r="P16" s="21">
        <f>SUMIF('🔄 REMBOURSEMENTS'!B:B,A16,'🔄 REMBOURSEMENTS'!F:F)</f>
        <v>0</v>
      </c>
      <c r="Q16" s="35">
        <f t="shared" si="1"/>
        <v>0</v>
      </c>
      <c r="R16" s="25" t="str">
        <f t="shared" ca="1" si="2"/>
        <v>—</v>
      </c>
    </row>
    <row r="17" spans="1:18" ht="21.75" customHeight="1" x14ac:dyDescent="0.3">
      <c r="A17" s="10" t="s">
        <v>156</v>
      </c>
      <c r="B17" s="36"/>
      <c r="C17" s="36"/>
      <c r="D17" s="36"/>
      <c r="E17" s="36"/>
      <c r="F17" s="36"/>
      <c r="G17" s="33">
        <f>IF(F17="",0,F17*'⚙️ PARAMÈTRES'!B10)</f>
        <v>0</v>
      </c>
      <c r="H17" s="36"/>
      <c r="I17" s="36"/>
      <c r="J17" s="36"/>
      <c r="K17" s="36"/>
      <c r="L17" s="23">
        <f>IF(F17="",0,F17*'⚙️ PARAMÈTRES'!B4)</f>
        <v>0</v>
      </c>
      <c r="M17" s="23">
        <f>IF(F17="",0,F17*'⚙️ PARAMÈTRES'!B4*2)</f>
        <v>0</v>
      </c>
      <c r="N17" s="24">
        <f ca="1">IF(OR(F17="",K17=""),0,IF(AND(R17&lt;&gt;"Soldé",TODAY()&gt;K17+60),(F17-P17)*'⚙️ PARAMÈTRES'!B5*MAX(0,DATEDIF(K17,TODAY(),"M")-2),0))</f>
        <v>0</v>
      </c>
      <c r="O17" s="34">
        <f t="shared" si="0"/>
        <v>0</v>
      </c>
      <c r="P17" s="21">
        <f>SUMIF('🔄 REMBOURSEMENTS'!B:B,A17,'🔄 REMBOURSEMENTS'!F:F)</f>
        <v>0</v>
      </c>
      <c r="Q17" s="35">
        <f t="shared" si="1"/>
        <v>0</v>
      </c>
      <c r="R17" s="28" t="str">
        <f t="shared" ca="1" si="2"/>
        <v>—</v>
      </c>
    </row>
    <row r="18" spans="1:18" ht="21.75" customHeight="1" x14ac:dyDescent="0.3">
      <c r="A18" s="10" t="s">
        <v>157</v>
      </c>
      <c r="B18" s="32"/>
      <c r="C18" s="32"/>
      <c r="D18" s="32"/>
      <c r="E18" s="32"/>
      <c r="F18" s="32"/>
      <c r="G18" s="33">
        <f>IF(F18="",0,F18*'⚙️ PARAMÈTRES'!B10)</f>
        <v>0</v>
      </c>
      <c r="H18" s="32"/>
      <c r="I18" s="32"/>
      <c r="J18" s="32"/>
      <c r="K18" s="32"/>
      <c r="L18" s="23">
        <f>IF(F18="",0,F18*'⚙️ PARAMÈTRES'!B4)</f>
        <v>0</v>
      </c>
      <c r="M18" s="23">
        <f>IF(F18="",0,F18*'⚙️ PARAMÈTRES'!B4*2)</f>
        <v>0</v>
      </c>
      <c r="N18" s="24">
        <f ca="1">IF(OR(F18="",K18=""),0,IF(AND(R18&lt;&gt;"Soldé",TODAY()&gt;K18+60),(F18-P18)*'⚙️ PARAMÈTRES'!B5*MAX(0,DATEDIF(K18,TODAY(),"M")-2),0))</f>
        <v>0</v>
      </c>
      <c r="O18" s="34">
        <f t="shared" si="0"/>
        <v>0</v>
      </c>
      <c r="P18" s="21">
        <f>SUMIF('🔄 REMBOURSEMENTS'!B:B,A18,'🔄 REMBOURSEMENTS'!F:F)</f>
        <v>0</v>
      </c>
      <c r="Q18" s="35">
        <f t="shared" si="1"/>
        <v>0</v>
      </c>
      <c r="R18" s="25" t="str">
        <f t="shared" ca="1" si="2"/>
        <v>—</v>
      </c>
    </row>
    <row r="19" spans="1:18" ht="21.75" customHeight="1" x14ac:dyDescent="0.3">
      <c r="A19" s="10" t="s">
        <v>158</v>
      </c>
      <c r="B19" s="36"/>
      <c r="C19" s="36"/>
      <c r="D19" s="36"/>
      <c r="E19" s="36"/>
      <c r="F19" s="36"/>
      <c r="G19" s="33">
        <f>IF(F19="",0,F19*'⚙️ PARAMÈTRES'!B10)</f>
        <v>0</v>
      </c>
      <c r="H19" s="36"/>
      <c r="I19" s="36"/>
      <c r="J19" s="36"/>
      <c r="K19" s="36"/>
      <c r="L19" s="23">
        <f>IF(F19="",0,F19*'⚙️ PARAMÈTRES'!B4)</f>
        <v>0</v>
      </c>
      <c r="M19" s="23">
        <f>IF(F19="",0,F19*'⚙️ PARAMÈTRES'!B4*2)</f>
        <v>0</v>
      </c>
      <c r="N19" s="24">
        <f ca="1">IF(OR(F19="",K19=""),0,IF(AND(R19&lt;&gt;"Soldé",TODAY()&gt;K19+60),(F19-P19)*'⚙️ PARAMÈTRES'!B5*MAX(0,DATEDIF(K19,TODAY(),"M")-2),0))</f>
        <v>0</v>
      </c>
      <c r="O19" s="34">
        <f t="shared" si="0"/>
        <v>0</v>
      </c>
      <c r="P19" s="21">
        <f>SUMIF('🔄 REMBOURSEMENTS'!B:B,A19,'🔄 REMBOURSEMENTS'!F:F)</f>
        <v>0</v>
      </c>
      <c r="Q19" s="35">
        <f t="shared" si="1"/>
        <v>0</v>
      </c>
      <c r="R19" s="28" t="str">
        <f t="shared" ca="1" si="2"/>
        <v>—</v>
      </c>
    </row>
    <row r="20" spans="1:18" ht="21.75" customHeight="1" x14ac:dyDescent="0.3">
      <c r="A20" s="10" t="s">
        <v>159</v>
      </c>
      <c r="B20" s="32"/>
      <c r="C20" s="32"/>
      <c r="D20" s="32"/>
      <c r="E20" s="32"/>
      <c r="F20" s="32"/>
      <c r="G20" s="33">
        <f>IF(F20="",0,F20*'⚙️ PARAMÈTRES'!B10)</f>
        <v>0</v>
      </c>
      <c r="H20" s="32"/>
      <c r="I20" s="32"/>
      <c r="J20" s="32"/>
      <c r="K20" s="32"/>
      <c r="L20" s="23">
        <f>IF(F20="",0,F20*'⚙️ PARAMÈTRES'!B4)</f>
        <v>0</v>
      </c>
      <c r="M20" s="23">
        <f>IF(F20="",0,F20*'⚙️ PARAMÈTRES'!B4*2)</f>
        <v>0</v>
      </c>
      <c r="N20" s="24">
        <f ca="1">IF(OR(F20="",K20=""),0,IF(AND(R20&lt;&gt;"Soldé",TODAY()&gt;K20+60),(F20-P20)*'⚙️ PARAMÈTRES'!B5*MAX(0,DATEDIF(K20,TODAY(),"M")-2),0))</f>
        <v>0</v>
      </c>
      <c r="O20" s="34">
        <f t="shared" si="0"/>
        <v>0</v>
      </c>
      <c r="P20" s="21">
        <f>SUMIF('🔄 REMBOURSEMENTS'!B:B,A20,'🔄 REMBOURSEMENTS'!F:F)</f>
        <v>0</v>
      </c>
      <c r="Q20" s="35">
        <f t="shared" si="1"/>
        <v>0</v>
      </c>
      <c r="R20" s="25" t="str">
        <f t="shared" ca="1" si="2"/>
        <v>—</v>
      </c>
    </row>
    <row r="21" spans="1:18" ht="21.75" customHeight="1" x14ac:dyDescent="0.3">
      <c r="A21" s="10" t="s">
        <v>160</v>
      </c>
      <c r="B21" s="36"/>
      <c r="C21" s="36"/>
      <c r="D21" s="36"/>
      <c r="E21" s="36"/>
      <c r="F21" s="36"/>
      <c r="G21" s="33">
        <f>IF(F21="",0,F21*'⚙️ PARAMÈTRES'!B10)</f>
        <v>0</v>
      </c>
      <c r="H21" s="36"/>
      <c r="I21" s="36"/>
      <c r="J21" s="36"/>
      <c r="K21" s="36"/>
      <c r="L21" s="23">
        <f>IF(F21="",0,F21*'⚙️ PARAMÈTRES'!B4)</f>
        <v>0</v>
      </c>
      <c r="M21" s="23">
        <f>IF(F21="",0,F21*'⚙️ PARAMÈTRES'!B4*2)</f>
        <v>0</v>
      </c>
      <c r="N21" s="24">
        <f ca="1">IF(OR(F21="",K21=""),0,IF(AND(R21&lt;&gt;"Soldé",TODAY()&gt;K21+60),(F21-P21)*'⚙️ PARAMÈTRES'!B5*MAX(0,DATEDIF(K21,TODAY(),"M")-2),0))</f>
        <v>0</v>
      </c>
      <c r="O21" s="34">
        <f t="shared" si="0"/>
        <v>0</v>
      </c>
      <c r="P21" s="21">
        <f>SUMIF('🔄 REMBOURSEMENTS'!B:B,A21,'🔄 REMBOURSEMENTS'!F:F)</f>
        <v>0</v>
      </c>
      <c r="Q21" s="35">
        <f t="shared" si="1"/>
        <v>0</v>
      </c>
      <c r="R21" s="28" t="str">
        <f t="shared" ca="1" si="2"/>
        <v>—</v>
      </c>
    </row>
    <row r="22" spans="1:18" ht="21.75" customHeight="1" x14ac:dyDescent="0.3">
      <c r="A22" s="10" t="s">
        <v>161</v>
      </c>
      <c r="B22" s="32"/>
      <c r="C22" s="32"/>
      <c r="D22" s="32"/>
      <c r="E22" s="32"/>
      <c r="F22" s="32"/>
      <c r="G22" s="33">
        <f>IF(F22="",0,F22*'⚙️ PARAMÈTRES'!B10)</f>
        <v>0</v>
      </c>
      <c r="H22" s="32"/>
      <c r="I22" s="32"/>
      <c r="J22" s="32"/>
      <c r="K22" s="32"/>
      <c r="L22" s="23">
        <f>IF(F22="",0,F22*'⚙️ PARAMÈTRES'!B4)</f>
        <v>0</v>
      </c>
      <c r="M22" s="23">
        <f>IF(F22="",0,F22*'⚙️ PARAMÈTRES'!B4*2)</f>
        <v>0</v>
      </c>
      <c r="N22" s="24">
        <f ca="1">IF(OR(F22="",K22=""),0,IF(AND(R22&lt;&gt;"Soldé",TODAY()&gt;K22+60),(F22-P22)*'⚙️ PARAMÈTRES'!B5*MAX(0,DATEDIF(K22,TODAY(),"M")-2),0))</f>
        <v>0</v>
      </c>
      <c r="O22" s="34">
        <f t="shared" si="0"/>
        <v>0</v>
      </c>
      <c r="P22" s="21">
        <f>SUMIF('🔄 REMBOURSEMENTS'!B:B,A22,'🔄 REMBOURSEMENTS'!F:F)</f>
        <v>0</v>
      </c>
      <c r="Q22" s="35">
        <f t="shared" si="1"/>
        <v>0</v>
      </c>
      <c r="R22" s="25" t="str">
        <f t="shared" ca="1" si="2"/>
        <v>—</v>
      </c>
    </row>
    <row r="23" spans="1:18" ht="21.75" customHeight="1" x14ac:dyDescent="0.3">
      <c r="A23" s="10" t="s">
        <v>162</v>
      </c>
      <c r="B23" s="36"/>
      <c r="C23" s="36"/>
      <c r="D23" s="36"/>
      <c r="E23" s="36"/>
      <c r="F23" s="36"/>
      <c r="G23" s="33">
        <f>IF(F23="",0,F23*'⚙️ PARAMÈTRES'!B10)</f>
        <v>0</v>
      </c>
      <c r="H23" s="36"/>
      <c r="I23" s="36"/>
      <c r="J23" s="36"/>
      <c r="K23" s="36"/>
      <c r="L23" s="23">
        <f>IF(F23="",0,F23*'⚙️ PARAMÈTRES'!B4)</f>
        <v>0</v>
      </c>
      <c r="M23" s="23">
        <f>IF(F23="",0,F23*'⚙️ PARAMÈTRES'!B4*2)</f>
        <v>0</v>
      </c>
      <c r="N23" s="24">
        <f ca="1">IF(OR(F23="",K23=""),0,IF(AND(R23&lt;&gt;"Soldé",TODAY()&gt;K23+60),(F23-P23)*'⚙️ PARAMÈTRES'!B5*MAX(0,DATEDIF(K23,TODAY(),"M")-2),0))</f>
        <v>0</v>
      </c>
      <c r="O23" s="34">
        <f t="shared" si="0"/>
        <v>0</v>
      </c>
      <c r="P23" s="21">
        <f>SUMIF('🔄 REMBOURSEMENTS'!B:B,A23,'🔄 REMBOURSEMENTS'!F:F)</f>
        <v>0</v>
      </c>
      <c r="Q23" s="35">
        <f t="shared" si="1"/>
        <v>0</v>
      </c>
      <c r="R23" s="28" t="str">
        <f t="shared" ca="1" si="2"/>
        <v>—</v>
      </c>
    </row>
    <row r="24" spans="1:18" ht="21.75" customHeight="1" x14ac:dyDescent="0.3">
      <c r="A24" s="10" t="s">
        <v>163</v>
      </c>
      <c r="B24" s="32"/>
      <c r="C24" s="32"/>
      <c r="D24" s="32"/>
      <c r="E24" s="32"/>
      <c r="F24" s="32"/>
      <c r="G24" s="33">
        <f>IF(F24="",0,F24*'⚙️ PARAMÈTRES'!B10)</f>
        <v>0</v>
      </c>
      <c r="H24" s="32"/>
      <c r="I24" s="32"/>
      <c r="J24" s="32"/>
      <c r="K24" s="32"/>
      <c r="L24" s="23">
        <f>IF(F24="",0,F24*'⚙️ PARAMÈTRES'!B4)</f>
        <v>0</v>
      </c>
      <c r="M24" s="23">
        <f>IF(F24="",0,F24*'⚙️ PARAMÈTRES'!B4*2)</f>
        <v>0</v>
      </c>
      <c r="N24" s="24">
        <f ca="1">IF(OR(F24="",K24=""),0,IF(AND(R24&lt;&gt;"Soldé",TODAY()&gt;K24+60),(F24-P24)*'⚙️ PARAMÈTRES'!B5*MAX(0,DATEDIF(K24,TODAY(),"M")-2),0))</f>
        <v>0</v>
      </c>
      <c r="O24" s="34">
        <f t="shared" si="0"/>
        <v>0</v>
      </c>
      <c r="P24" s="21">
        <f>SUMIF('🔄 REMBOURSEMENTS'!B:B,A24,'🔄 REMBOURSEMENTS'!F:F)</f>
        <v>0</v>
      </c>
      <c r="Q24" s="35">
        <f t="shared" si="1"/>
        <v>0</v>
      </c>
      <c r="R24" s="25" t="str">
        <f t="shared" ca="1" si="2"/>
        <v>—</v>
      </c>
    </row>
    <row r="25" spans="1:18" ht="21.75" customHeight="1" x14ac:dyDescent="0.3">
      <c r="A25" s="10" t="s">
        <v>164</v>
      </c>
      <c r="B25" s="36"/>
      <c r="C25" s="36"/>
      <c r="D25" s="36"/>
      <c r="E25" s="36"/>
      <c r="F25" s="36"/>
      <c r="G25" s="33">
        <f>IF(F25="",0,F25*'⚙️ PARAMÈTRES'!B10)</f>
        <v>0</v>
      </c>
      <c r="H25" s="36"/>
      <c r="I25" s="36"/>
      <c r="J25" s="36"/>
      <c r="K25" s="36"/>
      <c r="L25" s="23">
        <f>IF(F25="",0,F25*'⚙️ PARAMÈTRES'!B4)</f>
        <v>0</v>
      </c>
      <c r="M25" s="23">
        <f>IF(F25="",0,F25*'⚙️ PARAMÈTRES'!B4*2)</f>
        <v>0</v>
      </c>
      <c r="N25" s="24">
        <f ca="1">IF(OR(F25="",K25=""),0,IF(AND(R25&lt;&gt;"Soldé",TODAY()&gt;K25+60),(F25-P25)*'⚙️ PARAMÈTRES'!B5*MAX(0,DATEDIF(K25,TODAY(),"M")-2),0))</f>
        <v>0</v>
      </c>
      <c r="O25" s="34">
        <f t="shared" si="0"/>
        <v>0</v>
      </c>
      <c r="P25" s="21">
        <f>SUMIF('🔄 REMBOURSEMENTS'!B:B,A25,'🔄 REMBOURSEMENTS'!F:F)</f>
        <v>0</v>
      </c>
      <c r="Q25" s="35">
        <f t="shared" si="1"/>
        <v>0</v>
      </c>
      <c r="R25" s="28" t="str">
        <f t="shared" ca="1" si="2"/>
        <v>—</v>
      </c>
    </row>
    <row r="26" spans="1:18" ht="21.75" customHeight="1" x14ac:dyDescent="0.3">
      <c r="A26" s="10" t="s">
        <v>165</v>
      </c>
      <c r="B26" s="32"/>
      <c r="C26" s="32"/>
      <c r="D26" s="32"/>
      <c r="E26" s="32"/>
      <c r="F26" s="32"/>
      <c r="G26" s="33">
        <f>IF(F26="",0,F26*'⚙️ PARAMÈTRES'!B10)</f>
        <v>0</v>
      </c>
      <c r="H26" s="32"/>
      <c r="I26" s="32"/>
      <c r="J26" s="32"/>
      <c r="K26" s="32"/>
      <c r="L26" s="23">
        <f>IF(F26="",0,F26*'⚙️ PARAMÈTRES'!B4)</f>
        <v>0</v>
      </c>
      <c r="M26" s="23">
        <f>IF(F26="",0,F26*'⚙️ PARAMÈTRES'!B4*2)</f>
        <v>0</v>
      </c>
      <c r="N26" s="24">
        <f ca="1">IF(OR(F26="",K26=""),0,IF(AND(R26&lt;&gt;"Soldé",TODAY()&gt;K26+60),(F26-P26)*'⚙️ PARAMÈTRES'!B5*MAX(0,DATEDIF(K26,TODAY(),"M")-2),0))</f>
        <v>0</v>
      </c>
      <c r="O26" s="34">
        <f t="shared" si="0"/>
        <v>0</v>
      </c>
      <c r="P26" s="21">
        <f>SUMIF('🔄 REMBOURSEMENTS'!B:B,A26,'🔄 REMBOURSEMENTS'!F:F)</f>
        <v>0</v>
      </c>
      <c r="Q26" s="35">
        <f t="shared" si="1"/>
        <v>0</v>
      </c>
      <c r="R26" s="25" t="str">
        <f t="shared" ca="1" si="2"/>
        <v>—</v>
      </c>
    </row>
    <row r="27" spans="1:18" ht="21.75" customHeight="1" x14ac:dyDescent="0.3">
      <c r="A27" s="10" t="s">
        <v>166</v>
      </c>
      <c r="B27" s="36"/>
      <c r="C27" s="36"/>
      <c r="D27" s="36"/>
      <c r="E27" s="36"/>
      <c r="F27" s="36"/>
      <c r="G27" s="33">
        <f>IF(F27="",0,F27*'⚙️ PARAMÈTRES'!B10)</f>
        <v>0</v>
      </c>
      <c r="H27" s="36"/>
      <c r="I27" s="36"/>
      <c r="J27" s="36"/>
      <c r="K27" s="36"/>
      <c r="L27" s="23">
        <f>IF(F27="",0,F27*'⚙️ PARAMÈTRES'!B4)</f>
        <v>0</v>
      </c>
      <c r="M27" s="23">
        <f>IF(F27="",0,F27*'⚙️ PARAMÈTRES'!B4*2)</f>
        <v>0</v>
      </c>
      <c r="N27" s="24">
        <f ca="1">IF(OR(F27="",K27=""),0,IF(AND(R27&lt;&gt;"Soldé",TODAY()&gt;K27+60),(F27-P27)*'⚙️ PARAMÈTRES'!B5*MAX(0,DATEDIF(K27,TODAY(),"M")-2),0))</f>
        <v>0</v>
      </c>
      <c r="O27" s="34">
        <f t="shared" si="0"/>
        <v>0</v>
      </c>
      <c r="P27" s="21">
        <f>SUMIF('🔄 REMBOURSEMENTS'!B:B,A27,'🔄 REMBOURSEMENTS'!F:F)</f>
        <v>0</v>
      </c>
      <c r="Q27" s="35">
        <f t="shared" si="1"/>
        <v>0</v>
      </c>
      <c r="R27" s="28" t="str">
        <f t="shared" ca="1" si="2"/>
        <v>—</v>
      </c>
    </row>
    <row r="28" spans="1:18" ht="21.75" customHeight="1" x14ac:dyDescent="0.3">
      <c r="A28" s="10" t="s">
        <v>167</v>
      </c>
      <c r="B28" s="32"/>
      <c r="C28" s="32"/>
      <c r="D28" s="32"/>
      <c r="E28" s="32"/>
      <c r="F28" s="32"/>
      <c r="G28" s="33">
        <f>IF(F28="",0,F28*'⚙️ PARAMÈTRES'!B10)</f>
        <v>0</v>
      </c>
      <c r="H28" s="32"/>
      <c r="I28" s="32"/>
      <c r="J28" s="32"/>
      <c r="K28" s="32"/>
      <c r="L28" s="23">
        <f>IF(F28="",0,F28*'⚙️ PARAMÈTRES'!B4)</f>
        <v>0</v>
      </c>
      <c r="M28" s="23">
        <f>IF(F28="",0,F28*'⚙️ PARAMÈTRES'!B4*2)</f>
        <v>0</v>
      </c>
      <c r="N28" s="24">
        <f ca="1">IF(OR(F28="",K28=""),0,IF(AND(R28&lt;&gt;"Soldé",TODAY()&gt;K28+60),(F28-P28)*'⚙️ PARAMÈTRES'!B5*MAX(0,DATEDIF(K28,TODAY(),"M")-2),0))</f>
        <v>0</v>
      </c>
      <c r="O28" s="34">
        <f t="shared" si="0"/>
        <v>0</v>
      </c>
      <c r="P28" s="21">
        <f>SUMIF('🔄 REMBOURSEMENTS'!B:B,A28,'🔄 REMBOURSEMENTS'!F:F)</f>
        <v>0</v>
      </c>
      <c r="Q28" s="35">
        <f t="shared" si="1"/>
        <v>0</v>
      </c>
      <c r="R28" s="25" t="str">
        <f t="shared" ca="1" si="2"/>
        <v>—</v>
      </c>
    </row>
    <row r="29" spans="1:18" ht="21.75" customHeight="1" x14ac:dyDescent="0.3">
      <c r="A29" s="10" t="s">
        <v>168</v>
      </c>
      <c r="B29" s="36"/>
      <c r="C29" s="36"/>
      <c r="D29" s="36"/>
      <c r="E29" s="36"/>
      <c r="F29" s="36"/>
      <c r="G29" s="33">
        <f>IF(F29="",0,F29*'⚙️ PARAMÈTRES'!B10)</f>
        <v>0</v>
      </c>
      <c r="H29" s="36"/>
      <c r="I29" s="36"/>
      <c r="J29" s="36"/>
      <c r="K29" s="36"/>
      <c r="L29" s="23">
        <f>IF(F29="",0,F29*'⚙️ PARAMÈTRES'!B4)</f>
        <v>0</v>
      </c>
      <c r="M29" s="23">
        <f>IF(F29="",0,F29*'⚙️ PARAMÈTRES'!B4*2)</f>
        <v>0</v>
      </c>
      <c r="N29" s="24">
        <f ca="1">IF(OR(F29="",K29=""),0,IF(AND(R29&lt;&gt;"Soldé",TODAY()&gt;K29+60),(F29-P29)*'⚙️ PARAMÈTRES'!B5*MAX(0,DATEDIF(K29,TODAY(),"M")-2),0))</f>
        <v>0</v>
      </c>
      <c r="O29" s="34">
        <f t="shared" si="0"/>
        <v>0</v>
      </c>
      <c r="P29" s="21">
        <f>SUMIF('🔄 REMBOURSEMENTS'!B:B,A29,'🔄 REMBOURSEMENTS'!F:F)</f>
        <v>0</v>
      </c>
      <c r="Q29" s="35">
        <f t="shared" si="1"/>
        <v>0</v>
      </c>
      <c r="R29" s="28" t="str">
        <f t="shared" ca="1" si="2"/>
        <v>—</v>
      </c>
    </row>
    <row r="30" spans="1:18" ht="21.75" customHeight="1" x14ac:dyDescent="0.3">
      <c r="A30" s="10" t="s">
        <v>169</v>
      </c>
      <c r="B30" s="32"/>
      <c r="C30" s="32"/>
      <c r="D30" s="32"/>
      <c r="E30" s="32"/>
      <c r="F30" s="32"/>
      <c r="G30" s="33">
        <f>IF(F30="",0,F30*'⚙️ PARAMÈTRES'!B10)</f>
        <v>0</v>
      </c>
      <c r="H30" s="32"/>
      <c r="I30" s="32"/>
      <c r="J30" s="32"/>
      <c r="K30" s="32"/>
      <c r="L30" s="23">
        <f>IF(F30="",0,F30*'⚙️ PARAMÈTRES'!B4)</f>
        <v>0</v>
      </c>
      <c r="M30" s="23">
        <f>IF(F30="",0,F30*'⚙️ PARAMÈTRES'!B4*2)</f>
        <v>0</v>
      </c>
      <c r="N30" s="24">
        <f ca="1">IF(OR(F30="",K30=""),0,IF(AND(R30&lt;&gt;"Soldé",TODAY()&gt;K30+60),(F30-P30)*'⚙️ PARAMÈTRES'!B5*MAX(0,DATEDIF(K30,TODAY(),"M")-2),0))</f>
        <v>0</v>
      </c>
      <c r="O30" s="34">
        <f t="shared" si="0"/>
        <v>0</v>
      </c>
      <c r="P30" s="21">
        <f>SUMIF('🔄 REMBOURSEMENTS'!B:B,A30,'🔄 REMBOURSEMENTS'!F:F)</f>
        <v>0</v>
      </c>
      <c r="Q30" s="35">
        <f t="shared" si="1"/>
        <v>0</v>
      </c>
      <c r="R30" s="25" t="str">
        <f t="shared" ca="1" si="2"/>
        <v>—</v>
      </c>
    </row>
    <row r="31" spans="1:18" ht="21.75" customHeight="1" x14ac:dyDescent="0.3">
      <c r="A31" s="10" t="s">
        <v>170</v>
      </c>
      <c r="B31" s="36"/>
      <c r="C31" s="36"/>
      <c r="D31" s="36"/>
      <c r="E31" s="36"/>
      <c r="F31" s="36"/>
      <c r="G31" s="33">
        <f>IF(F31="",0,F31*'⚙️ PARAMÈTRES'!B10)</f>
        <v>0</v>
      </c>
      <c r="H31" s="36"/>
      <c r="I31" s="36"/>
      <c r="J31" s="36"/>
      <c r="K31" s="36"/>
      <c r="L31" s="23">
        <f>IF(F31="",0,F31*'⚙️ PARAMÈTRES'!B4)</f>
        <v>0</v>
      </c>
      <c r="M31" s="23">
        <f>IF(F31="",0,F31*'⚙️ PARAMÈTRES'!B4*2)</f>
        <v>0</v>
      </c>
      <c r="N31" s="24">
        <f ca="1">IF(OR(F31="",K31=""),0,IF(AND(R31&lt;&gt;"Soldé",TODAY()&gt;K31+60),(F31-P31)*'⚙️ PARAMÈTRES'!B5*MAX(0,DATEDIF(K31,TODAY(),"M")-2),0))</f>
        <v>0</v>
      </c>
      <c r="O31" s="34">
        <f t="shared" si="0"/>
        <v>0</v>
      </c>
      <c r="P31" s="21">
        <f>SUMIF('🔄 REMBOURSEMENTS'!B:B,A31,'🔄 REMBOURSEMENTS'!F:F)</f>
        <v>0</v>
      </c>
      <c r="Q31" s="35">
        <f t="shared" si="1"/>
        <v>0</v>
      </c>
      <c r="R31" s="28" t="str">
        <f t="shared" ca="1" si="2"/>
        <v>—</v>
      </c>
    </row>
    <row r="32" spans="1:18" ht="21.75" customHeight="1" x14ac:dyDescent="0.3">
      <c r="A32" s="10" t="s">
        <v>171</v>
      </c>
      <c r="B32" s="32"/>
      <c r="C32" s="32"/>
      <c r="D32" s="32"/>
      <c r="E32" s="32"/>
      <c r="F32" s="32"/>
      <c r="G32" s="33">
        <f>IF(F32="",0,F32*'⚙️ PARAMÈTRES'!B10)</f>
        <v>0</v>
      </c>
      <c r="H32" s="32"/>
      <c r="I32" s="32"/>
      <c r="J32" s="32"/>
      <c r="K32" s="32"/>
      <c r="L32" s="23">
        <f>IF(F32="",0,F32*'⚙️ PARAMÈTRES'!B4)</f>
        <v>0</v>
      </c>
      <c r="M32" s="23">
        <f>IF(F32="",0,F32*'⚙️ PARAMÈTRES'!B4*2)</f>
        <v>0</v>
      </c>
      <c r="N32" s="24">
        <f ca="1">IF(OR(F32="",K32=""),0,IF(AND(R32&lt;&gt;"Soldé",TODAY()&gt;K32+60),(F32-P32)*'⚙️ PARAMÈTRES'!B5*MAX(0,DATEDIF(K32,TODAY(),"M")-2),0))</f>
        <v>0</v>
      </c>
      <c r="O32" s="34">
        <f t="shared" si="0"/>
        <v>0</v>
      </c>
      <c r="P32" s="21">
        <f>SUMIF('🔄 REMBOURSEMENTS'!B:B,A32,'🔄 REMBOURSEMENTS'!F:F)</f>
        <v>0</v>
      </c>
      <c r="Q32" s="35">
        <f t="shared" si="1"/>
        <v>0</v>
      </c>
      <c r="R32" s="25" t="str">
        <f t="shared" ca="1" si="2"/>
        <v>—</v>
      </c>
    </row>
    <row r="33" spans="1:18" ht="21.75" customHeight="1" x14ac:dyDescent="0.3">
      <c r="A33" s="10" t="s">
        <v>172</v>
      </c>
      <c r="B33" s="36"/>
      <c r="C33" s="36"/>
      <c r="D33" s="36"/>
      <c r="E33" s="36"/>
      <c r="F33" s="36"/>
      <c r="G33" s="33">
        <f>IF(F33="",0,F33*'⚙️ PARAMÈTRES'!B10)</f>
        <v>0</v>
      </c>
      <c r="H33" s="36"/>
      <c r="I33" s="36"/>
      <c r="J33" s="36"/>
      <c r="K33" s="36"/>
      <c r="L33" s="23">
        <f>IF(F33="",0,F33*'⚙️ PARAMÈTRES'!B4)</f>
        <v>0</v>
      </c>
      <c r="M33" s="23">
        <f>IF(F33="",0,F33*'⚙️ PARAMÈTRES'!B4*2)</f>
        <v>0</v>
      </c>
      <c r="N33" s="24">
        <f ca="1">IF(OR(F33="",K33=""),0,IF(AND(R33&lt;&gt;"Soldé",TODAY()&gt;K33+60),(F33-P33)*'⚙️ PARAMÈTRES'!B5*MAX(0,DATEDIF(K33,TODAY(),"M")-2),0))</f>
        <v>0</v>
      </c>
      <c r="O33" s="34">
        <f t="shared" si="0"/>
        <v>0</v>
      </c>
      <c r="P33" s="21">
        <f>SUMIF('🔄 REMBOURSEMENTS'!B:B,A33,'🔄 REMBOURSEMENTS'!F:F)</f>
        <v>0</v>
      </c>
      <c r="Q33" s="35">
        <f t="shared" si="1"/>
        <v>0</v>
      </c>
      <c r="R33" s="28" t="str">
        <f t="shared" ca="1" si="2"/>
        <v>—</v>
      </c>
    </row>
    <row r="34" spans="1:18" ht="21.75" customHeight="1" x14ac:dyDescent="0.3">
      <c r="A34" s="10" t="s">
        <v>173</v>
      </c>
      <c r="B34" s="32"/>
      <c r="C34" s="32"/>
      <c r="D34" s="32"/>
      <c r="E34" s="32"/>
      <c r="F34" s="32"/>
      <c r="G34" s="33">
        <f>IF(F34="",0,F34*'⚙️ PARAMÈTRES'!B10)</f>
        <v>0</v>
      </c>
      <c r="H34" s="32"/>
      <c r="I34" s="32"/>
      <c r="J34" s="32"/>
      <c r="K34" s="32"/>
      <c r="L34" s="23">
        <f>IF(F34="",0,F34*'⚙️ PARAMÈTRES'!B4)</f>
        <v>0</v>
      </c>
      <c r="M34" s="23">
        <f>IF(F34="",0,F34*'⚙️ PARAMÈTRES'!B4*2)</f>
        <v>0</v>
      </c>
      <c r="N34" s="24">
        <f ca="1">IF(OR(F34="",K34=""),0,IF(AND(R34&lt;&gt;"Soldé",TODAY()&gt;K34+60),(F34-P34)*'⚙️ PARAMÈTRES'!B5*MAX(0,DATEDIF(K34,TODAY(),"M")-2),0))</f>
        <v>0</v>
      </c>
      <c r="O34" s="34">
        <f t="shared" si="0"/>
        <v>0</v>
      </c>
      <c r="P34" s="21">
        <f>SUMIF('🔄 REMBOURSEMENTS'!B:B,A34,'🔄 REMBOURSEMENTS'!F:F)</f>
        <v>0</v>
      </c>
      <c r="Q34" s="35">
        <f t="shared" si="1"/>
        <v>0</v>
      </c>
      <c r="R34" s="25" t="str">
        <f t="shared" ca="1" si="2"/>
        <v>—</v>
      </c>
    </row>
    <row r="35" spans="1:18" ht="21.75" customHeight="1" x14ac:dyDescent="0.3">
      <c r="A35" s="10" t="s">
        <v>174</v>
      </c>
      <c r="B35" s="36"/>
      <c r="C35" s="36"/>
      <c r="D35" s="36"/>
      <c r="E35" s="36"/>
      <c r="F35" s="36"/>
      <c r="G35" s="33">
        <f>IF(F35="",0,F35*'⚙️ PARAMÈTRES'!B10)</f>
        <v>0</v>
      </c>
      <c r="H35" s="36"/>
      <c r="I35" s="36"/>
      <c r="J35" s="36"/>
      <c r="K35" s="36"/>
      <c r="L35" s="23">
        <f>IF(F35="",0,F35*'⚙️ PARAMÈTRES'!B4)</f>
        <v>0</v>
      </c>
      <c r="M35" s="23">
        <f>IF(F35="",0,F35*'⚙️ PARAMÈTRES'!B4*2)</f>
        <v>0</v>
      </c>
      <c r="N35" s="24">
        <f ca="1">IF(OR(F35="",K35=""),0,IF(AND(R35&lt;&gt;"Soldé",TODAY()&gt;K35+60),(F35-P35)*'⚙️ PARAMÈTRES'!B5*MAX(0,DATEDIF(K35,TODAY(),"M")-2),0))</f>
        <v>0</v>
      </c>
      <c r="O35" s="34">
        <f t="shared" si="0"/>
        <v>0</v>
      </c>
      <c r="P35" s="21">
        <f>SUMIF('🔄 REMBOURSEMENTS'!B:B,A35,'🔄 REMBOURSEMENTS'!F:F)</f>
        <v>0</v>
      </c>
      <c r="Q35" s="35">
        <f t="shared" si="1"/>
        <v>0</v>
      </c>
      <c r="R35" s="28" t="str">
        <f t="shared" ca="1" si="2"/>
        <v>—</v>
      </c>
    </row>
    <row r="36" spans="1:18" ht="21.75" customHeight="1" x14ac:dyDescent="0.3">
      <c r="A36" s="10" t="s">
        <v>175</v>
      </c>
      <c r="B36" s="32"/>
      <c r="C36" s="32"/>
      <c r="D36" s="32"/>
      <c r="E36" s="32"/>
      <c r="F36" s="32"/>
      <c r="G36" s="33">
        <f>IF(F36="",0,F36*'⚙️ PARAMÈTRES'!B10)</f>
        <v>0</v>
      </c>
      <c r="H36" s="32"/>
      <c r="I36" s="32"/>
      <c r="J36" s="32"/>
      <c r="K36" s="32"/>
      <c r="L36" s="23">
        <f>IF(F36="",0,F36*'⚙️ PARAMÈTRES'!B4)</f>
        <v>0</v>
      </c>
      <c r="M36" s="23">
        <f>IF(F36="",0,F36*'⚙️ PARAMÈTRES'!B4*2)</f>
        <v>0</v>
      </c>
      <c r="N36" s="24">
        <f ca="1">IF(OR(F36="",K36=""),0,IF(AND(R36&lt;&gt;"Soldé",TODAY()&gt;K36+60),(F36-P36)*'⚙️ PARAMÈTRES'!B5*MAX(0,DATEDIF(K36,TODAY(),"M")-2),0))</f>
        <v>0</v>
      </c>
      <c r="O36" s="34">
        <f t="shared" ref="O36:O63" si="3">IF(F36="",0,F36+G36+L36+N36)</f>
        <v>0</v>
      </c>
      <c r="P36" s="21">
        <f>SUMIF('🔄 REMBOURSEMENTS'!B:B,A36,'🔄 REMBOURSEMENTS'!F:F)</f>
        <v>0</v>
      </c>
      <c r="Q36" s="35">
        <f t="shared" ref="Q36:Q63" si="4">MAX(0,O36-P36)</f>
        <v>0</v>
      </c>
      <c r="R36" s="25" t="str">
        <f t="shared" ref="R36:R63" ca="1" si="5">IF(F36="","—",IF(Q36=0,"✅ Soldé",IF(AND(K36&lt;&gt;"",TODAY()&gt;K36+60),"🔴 Impayé",IF(AND(K36&lt;&gt;"",TODAY()&gt;K36),"⚠️ En retard","🔵 En cours"))))</f>
        <v>—</v>
      </c>
    </row>
    <row r="37" spans="1:18" ht="21.75" customHeight="1" x14ac:dyDescent="0.3">
      <c r="A37" s="10" t="s">
        <v>176</v>
      </c>
      <c r="B37" s="36"/>
      <c r="C37" s="36"/>
      <c r="D37" s="36"/>
      <c r="E37" s="36"/>
      <c r="F37" s="36"/>
      <c r="G37" s="33">
        <f>IF(F37="",0,F37*'⚙️ PARAMÈTRES'!B10)</f>
        <v>0</v>
      </c>
      <c r="H37" s="36"/>
      <c r="I37" s="36"/>
      <c r="J37" s="36"/>
      <c r="K37" s="36"/>
      <c r="L37" s="23">
        <f>IF(F37="",0,F37*'⚙️ PARAMÈTRES'!B4)</f>
        <v>0</v>
      </c>
      <c r="M37" s="23">
        <f>IF(F37="",0,F37*'⚙️ PARAMÈTRES'!B4*2)</f>
        <v>0</v>
      </c>
      <c r="N37" s="24">
        <f ca="1">IF(OR(F37="",K37=""),0,IF(AND(R37&lt;&gt;"Soldé",TODAY()&gt;K37+60),(F37-P37)*'⚙️ PARAMÈTRES'!B5*MAX(0,DATEDIF(K37,TODAY(),"M")-2),0))</f>
        <v>0</v>
      </c>
      <c r="O37" s="34">
        <f t="shared" si="3"/>
        <v>0</v>
      </c>
      <c r="P37" s="21">
        <f>SUMIF('🔄 REMBOURSEMENTS'!B:B,A37,'🔄 REMBOURSEMENTS'!F:F)</f>
        <v>0</v>
      </c>
      <c r="Q37" s="35">
        <f t="shared" si="4"/>
        <v>0</v>
      </c>
      <c r="R37" s="28" t="str">
        <f t="shared" ca="1" si="5"/>
        <v>—</v>
      </c>
    </row>
    <row r="38" spans="1:18" ht="21.75" customHeight="1" x14ac:dyDescent="0.3">
      <c r="A38" s="10" t="s">
        <v>177</v>
      </c>
      <c r="B38" s="32"/>
      <c r="C38" s="32"/>
      <c r="D38" s="32"/>
      <c r="E38" s="32"/>
      <c r="F38" s="32"/>
      <c r="G38" s="33">
        <f>IF(F38="",0,F38*'⚙️ PARAMÈTRES'!B10)</f>
        <v>0</v>
      </c>
      <c r="H38" s="32"/>
      <c r="I38" s="32"/>
      <c r="J38" s="32"/>
      <c r="K38" s="32"/>
      <c r="L38" s="23">
        <f>IF(F38="",0,F38*'⚙️ PARAMÈTRES'!B4)</f>
        <v>0</v>
      </c>
      <c r="M38" s="23">
        <f>IF(F38="",0,F38*'⚙️ PARAMÈTRES'!B4*2)</f>
        <v>0</v>
      </c>
      <c r="N38" s="24">
        <f ca="1">IF(OR(F38="",K38=""),0,IF(AND(R38&lt;&gt;"Soldé",TODAY()&gt;K38+60),(F38-P38)*'⚙️ PARAMÈTRES'!B5*MAX(0,DATEDIF(K38,TODAY(),"M")-2),0))</f>
        <v>0</v>
      </c>
      <c r="O38" s="34">
        <f t="shared" si="3"/>
        <v>0</v>
      </c>
      <c r="P38" s="21">
        <f>SUMIF('🔄 REMBOURSEMENTS'!B:B,A38,'🔄 REMBOURSEMENTS'!F:F)</f>
        <v>0</v>
      </c>
      <c r="Q38" s="35">
        <f t="shared" si="4"/>
        <v>0</v>
      </c>
      <c r="R38" s="25" t="str">
        <f t="shared" ca="1" si="5"/>
        <v>—</v>
      </c>
    </row>
    <row r="39" spans="1:18" ht="21.75" customHeight="1" x14ac:dyDescent="0.3">
      <c r="A39" s="10" t="s">
        <v>178</v>
      </c>
      <c r="B39" s="36"/>
      <c r="C39" s="36"/>
      <c r="D39" s="36"/>
      <c r="E39" s="36"/>
      <c r="F39" s="36"/>
      <c r="G39" s="33">
        <f>IF(F39="",0,F39*'⚙️ PARAMÈTRES'!B10)</f>
        <v>0</v>
      </c>
      <c r="H39" s="36"/>
      <c r="I39" s="36"/>
      <c r="J39" s="36"/>
      <c r="K39" s="36"/>
      <c r="L39" s="23">
        <f>IF(F39="",0,F39*'⚙️ PARAMÈTRES'!B4)</f>
        <v>0</v>
      </c>
      <c r="M39" s="23">
        <f>IF(F39="",0,F39*'⚙️ PARAMÈTRES'!B4*2)</f>
        <v>0</v>
      </c>
      <c r="N39" s="24">
        <f ca="1">IF(OR(F39="",K39=""),0,IF(AND(R39&lt;&gt;"Soldé",TODAY()&gt;K39+60),(F39-P39)*'⚙️ PARAMÈTRES'!B5*MAX(0,DATEDIF(K39,TODAY(),"M")-2),0))</f>
        <v>0</v>
      </c>
      <c r="O39" s="34">
        <f t="shared" si="3"/>
        <v>0</v>
      </c>
      <c r="P39" s="21">
        <f>SUMIF('🔄 REMBOURSEMENTS'!B:B,A39,'🔄 REMBOURSEMENTS'!F:F)</f>
        <v>0</v>
      </c>
      <c r="Q39" s="35">
        <f t="shared" si="4"/>
        <v>0</v>
      </c>
      <c r="R39" s="28" t="str">
        <f t="shared" ca="1" si="5"/>
        <v>—</v>
      </c>
    </row>
    <row r="40" spans="1:18" ht="21.75" customHeight="1" x14ac:dyDescent="0.3">
      <c r="A40" s="10" t="s">
        <v>179</v>
      </c>
      <c r="B40" s="32"/>
      <c r="C40" s="32"/>
      <c r="D40" s="32"/>
      <c r="E40" s="32"/>
      <c r="F40" s="32"/>
      <c r="G40" s="33">
        <f>IF(F40="",0,F40*'⚙️ PARAMÈTRES'!B10)</f>
        <v>0</v>
      </c>
      <c r="H40" s="32"/>
      <c r="I40" s="32"/>
      <c r="J40" s="32"/>
      <c r="K40" s="32"/>
      <c r="L40" s="23">
        <f>IF(F40="",0,F40*'⚙️ PARAMÈTRES'!B4)</f>
        <v>0</v>
      </c>
      <c r="M40" s="23">
        <f>IF(F40="",0,F40*'⚙️ PARAMÈTRES'!B4*2)</f>
        <v>0</v>
      </c>
      <c r="N40" s="24">
        <f ca="1">IF(OR(F40="",K40=""),0,IF(AND(R40&lt;&gt;"Soldé",TODAY()&gt;K40+60),(F40-P40)*'⚙️ PARAMÈTRES'!B5*MAX(0,DATEDIF(K40,TODAY(),"M")-2),0))</f>
        <v>0</v>
      </c>
      <c r="O40" s="34">
        <f t="shared" si="3"/>
        <v>0</v>
      </c>
      <c r="P40" s="21">
        <f>SUMIF('🔄 REMBOURSEMENTS'!B:B,A40,'🔄 REMBOURSEMENTS'!F:F)</f>
        <v>0</v>
      </c>
      <c r="Q40" s="35">
        <f t="shared" si="4"/>
        <v>0</v>
      </c>
      <c r="R40" s="25" t="str">
        <f t="shared" ca="1" si="5"/>
        <v>—</v>
      </c>
    </row>
    <row r="41" spans="1:18" ht="21.75" customHeight="1" x14ac:dyDescent="0.3">
      <c r="A41" s="10" t="s">
        <v>180</v>
      </c>
      <c r="B41" s="36"/>
      <c r="C41" s="36"/>
      <c r="D41" s="36"/>
      <c r="E41" s="36"/>
      <c r="F41" s="36"/>
      <c r="G41" s="33">
        <f>IF(F41="",0,F41*'⚙️ PARAMÈTRES'!B10)</f>
        <v>0</v>
      </c>
      <c r="H41" s="36"/>
      <c r="I41" s="36"/>
      <c r="J41" s="36"/>
      <c r="K41" s="36"/>
      <c r="L41" s="23">
        <f>IF(F41="",0,F41*'⚙️ PARAMÈTRES'!B4)</f>
        <v>0</v>
      </c>
      <c r="M41" s="23">
        <f>IF(F41="",0,F41*'⚙️ PARAMÈTRES'!B4*2)</f>
        <v>0</v>
      </c>
      <c r="N41" s="24">
        <f ca="1">IF(OR(F41="",K41=""),0,IF(AND(R41&lt;&gt;"Soldé",TODAY()&gt;K41+60),(F41-P41)*'⚙️ PARAMÈTRES'!B5*MAX(0,DATEDIF(K41,TODAY(),"M")-2),0))</f>
        <v>0</v>
      </c>
      <c r="O41" s="34">
        <f t="shared" si="3"/>
        <v>0</v>
      </c>
      <c r="P41" s="21">
        <f>SUMIF('🔄 REMBOURSEMENTS'!B:B,A41,'🔄 REMBOURSEMENTS'!F:F)</f>
        <v>0</v>
      </c>
      <c r="Q41" s="35">
        <f t="shared" si="4"/>
        <v>0</v>
      </c>
      <c r="R41" s="28" t="str">
        <f t="shared" ca="1" si="5"/>
        <v>—</v>
      </c>
    </row>
    <row r="42" spans="1:18" ht="21.75" customHeight="1" x14ac:dyDescent="0.3">
      <c r="A42" s="10" t="s">
        <v>181</v>
      </c>
      <c r="B42" s="32"/>
      <c r="C42" s="32"/>
      <c r="D42" s="32"/>
      <c r="E42" s="32"/>
      <c r="F42" s="32"/>
      <c r="G42" s="33">
        <f>IF(F42="",0,F42*'⚙️ PARAMÈTRES'!B10)</f>
        <v>0</v>
      </c>
      <c r="H42" s="32"/>
      <c r="I42" s="32"/>
      <c r="J42" s="32"/>
      <c r="K42" s="32"/>
      <c r="L42" s="23">
        <f>IF(F42="",0,F42*'⚙️ PARAMÈTRES'!B4)</f>
        <v>0</v>
      </c>
      <c r="M42" s="23">
        <f>IF(F42="",0,F42*'⚙️ PARAMÈTRES'!B4*2)</f>
        <v>0</v>
      </c>
      <c r="N42" s="24">
        <f ca="1">IF(OR(F42="",K42=""),0,IF(AND(R42&lt;&gt;"Soldé",TODAY()&gt;K42+60),(F42-P42)*'⚙️ PARAMÈTRES'!B5*MAX(0,DATEDIF(K42,TODAY(),"M")-2),0))</f>
        <v>0</v>
      </c>
      <c r="O42" s="34">
        <f t="shared" si="3"/>
        <v>0</v>
      </c>
      <c r="P42" s="21">
        <f>SUMIF('🔄 REMBOURSEMENTS'!B:B,A42,'🔄 REMBOURSEMENTS'!F:F)</f>
        <v>0</v>
      </c>
      <c r="Q42" s="35">
        <f t="shared" si="4"/>
        <v>0</v>
      </c>
      <c r="R42" s="25" t="str">
        <f t="shared" ca="1" si="5"/>
        <v>—</v>
      </c>
    </row>
    <row r="43" spans="1:18" ht="21.75" customHeight="1" x14ac:dyDescent="0.3">
      <c r="A43" s="10" t="s">
        <v>182</v>
      </c>
      <c r="B43" s="36"/>
      <c r="C43" s="36"/>
      <c r="D43" s="36"/>
      <c r="E43" s="36"/>
      <c r="F43" s="36"/>
      <c r="G43" s="33">
        <f>IF(F43="",0,F43*'⚙️ PARAMÈTRES'!B10)</f>
        <v>0</v>
      </c>
      <c r="H43" s="36"/>
      <c r="I43" s="36"/>
      <c r="J43" s="36"/>
      <c r="K43" s="36"/>
      <c r="L43" s="23">
        <f>IF(F43="",0,F43*'⚙️ PARAMÈTRES'!B4)</f>
        <v>0</v>
      </c>
      <c r="M43" s="23">
        <f>IF(F43="",0,F43*'⚙️ PARAMÈTRES'!B4*2)</f>
        <v>0</v>
      </c>
      <c r="N43" s="24">
        <f ca="1">IF(OR(F43="",K43=""),0,IF(AND(R43&lt;&gt;"Soldé",TODAY()&gt;K43+60),(F43-P43)*'⚙️ PARAMÈTRES'!B5*MAX(0,DATEDIF(K43,TODAY(),"M")-2),0))</f>
        <v>0</v>
      </c>
      <c r="O43" s="34">
        <f t="shared" si="3"/>
        <v>0</v>
      </c>
      <c r="P43" s="21">
        <f>SUMIF('🔄 REMBOURSEMENTS'!B:B,A43,'🔄 REMBOURSEMENTS'!F:F)</f>
        <v>0</v>
      </c>
      <c r="Q43" s="35">
        <f t="shared" si="4"/>
        <v>0</v>
      </c>
      <c r="R43" s="28" t="str">
        <f t="shared" ca="1" si="5"/>
        <v>—</v>
      </c>
    </row>
    <row r="44" spans="1:18" ht="21.75" customHeight="1" x14ac:dyDescent="0.3">
      <c r="A44" s="10" t="s">
        <v>183</v>
      </c>
      <c r="B44" s="32"/>
      <c r="C44" s="32"/>
      <c r="D44" s="32"/>
      <c r="E44" s="32"/>
      <c r="F44" s="32"/>
      <c r="G44" s="33">
        <f>IF(F44="",0,F44*'⚙️ PARAMÈTRES'!B10)</f>
        <v>0</v>
      </c>
      <c r="H44" s="32"/>
      <c r="I44" s="32"/>
      <c r="J44" s="32"/>
      <c r="K44" s="32"/>
      <c r="L44" s="23">
        <f>IF(F44="",0,F44*'⚙️ PARAMÈTRES'!B4)</f>
        <v>0</v>
      </c>
      <c r="M44" s="23">
        <f>IF(F44="",0,F44*'⚙️ PARAMÈTRES'!B4*2)</f>
        <v>0</v>
      </c>
      <c r="N44" s="24">
        <f ca="1">IF(OR(F44="",K44=""),0,IF(AND(R44&lt;&gt;"Soldé",TODAY()&gt;K44+60),(F44-P44)*'⚙️ PARAMÈTRES'!B5*MAX(0,DATEDIF(K44,TODAY(),"M")-2),0))</f>
        <v>0</v>
      </c>
      <c r="O44" s="34">
        <f t="shared" si="3"/>
        <v>0</v>
      </c>
      <c r="P44" s="21">
        <f>SUMIF('🔄 REMBOURSEMENTS'!B:B,A44,'🔄 REMBOURSEMENTS'!F:F)</f>
        <v>0</v>
      </c>
      <c r="Q44" s="35">
        <f t="shared" si="4"/>
        <v>0</v>
      </c>
      <c r="R44" s="25" t="str">
        <f t="shared" ca="1" si="5"/>
        <v>—</v>
      </c>
    </row>
    <row r="45" spans="1:18" ht="21.75" customHeight="1" x14ac:dyDescent="0.3">
      <c r="A45" s="10" t="s">
        <v>184</v>
      </c>
      <c r="B45" s="36"/>
      <c r="C45" s="36"/>
      <c r="D45" s="36"/>
      <c r="E45" s="36"/>
      <c r="F45" s="36"/>
      <c r="G45" s="33">
        <f>IF(F45="",0,F45*'⚙️ PARAMÈTRES'!B10)</f>
        <v>0</v>
      </c>
      <c r="H45" s="36"/>
      <c r="I45" s="36"/>
      <c r="J45" s="36"/>
      <c r="K45" s="36"/>
      <c r="L45" s="23">
        <f>IF(F45="",0,F45*'⚙️ PARAMÈTRES'!B4)</f>
        <v>0</v>
      </c>
      <c r="M45" s="23">
        <f>IF(F45="",0,F45*'⚙️ PARAMÈTRES'!B4*2)</f>
        <v>0</v>
      </c>
      <c r="N45" s="24">
        <f ca="1">IF(OR(F45="",K45=""),0,IF(AND(R45&lt;&gt;"Soldé",TODAY()&gt;K45+60),(F45-P45)*'⚙️ PARAMÈTRES'!B5*MAX(0,DATEDIF(K45,TODAY(),"M")-2),0))</f>
        <v>0</v>
      </c>
      <c r="O45" s="34">
        <f t="shared" si="3"/>
        <v>0</v>
      </c>
      <c r="P45" s="21">
        <f>SUMIF('🔄 REMBOURSEMENTS'!B:B,A45,'🔄 REMBOURSEMENTS'!F:F)</f>
        <v>0</v>
      </c>
      <c r="Q45" s="35">
        <f t="shared" si="4"/>
        <v>0</v>
      </c>
      <c r="R45" s="28" t="str">
        <f t="shared" ca="1" si="5"/>
        <v>—</v>
      </c>
    </row>
    <row r="46" spans="1:18" ht="21.75" customHeight="1" x14ac:dyDescent="0.3">
      <c r="A46" s="10" t="s">
        <v>185</v>
      </c>
      <c r="B46" s="32"/>
      <c r="C46" s="32"/>
      <c r="D46" s="32"/>
      <c r="E46" s="32"/>
      <c r="F46" s="32"/>
      <c r="G46" s="33">
        <f>IF(F46="",0,F46*'⚙️ PARAMÈTRES'!B10)</f>
        <v>0</v>
      </c>
      <c r="H46" s="32"/>
      <c r="I46" s="32"/>
      <c r="J46" s="32"/>
      <c r="K46" s="32"/>
      <c r="L46" s="23">
        <f>IF(F46="",0,F46*'⚙️ PARAMÈTRES'!B4)</f>
        <v>0</v>
      </c>
      <c r="M46" s="23">
        <f>IF(F46="",0,F46*'⚙️ PARAMÈTRES'!B4*2)</f>
        <v>0</v>
      </c>
      <c r="N46" s="24">
        <f ca="1">IF(OR(F46="",K46=""),0,IF(AND(R46&lt;&gt;"Soldé",TODAY()&gt;K46+60),(F46-P46)*'⚙️ PARAMÈTRES'!B5*MAX(0,DATEDIF(K46,TODAY(),"M")-2),0))</f>
        <v>0</v>
      </c>
      <c r="O46" s="34">
        <f t="shared" si="3"/>
        <v>0</v>
      </c>
      <c r="P46" s="21">
        <f>SUMIF('🔄 REMBOURSEMENTS'!B:B,A46,'🔄 REMBOURSEMENTS'!F:F)</f>
        <v>0</v>
      </c>
      <c r="Q46" s="35">
        <f t="shared" si="4"/>
        <v>0</v>
      </c>
      <c r="R46" s="25" t="str">
        <f t="shared" ca="1" si="5"/>
        <v>—</v>
      </c>
    </row>
    <row r="47" spans="1:18" ht="21.75" customHeight="1" x14ac:dyDescent="0.3">
      <c r="A47" s="10" t="s">
        <v>186</v>
      </c>
      <c r="B47" s="36"/>
      <c r="C47" s="36"/>
      <c r="D47" s="36"/>
      <c r="E47" s="36"/>
      <c r="F47" s="36"/>
      <c r="G47" s="33">
        <f>IF(F47="",0,F47*'⚙️ PARAMÈTRES'!B10)</f>
        <v>0</v>
      </c>
      <c r="H47" s="36"/>
      <c r="I47" s="36"/>
      <c r="J47" s="36"/>
      <c r="K47" s="36"/>
      <c r="L47" s="23">
        <f>IF(F47="",0,F47*'⚙️ PARAMÈTRES'!B4)</f>
        <v>0</v>
      </c>
      <c r="M47" s="23">
        <f>IF(F47="",0,F47*'⚙️ PARAMÈTRES'!B4*2)</f>
        <v>0</v>
      </c>
      <c r="N47" s="24">
        <f ca="1">IF(OR(F47="",K47=""),0,IF(AND(R47&lt;&gt;"Soldé",TODAY()&gt;K47+60),(F47-P47)*'⚙️ PARAMÈTRES'!B5*MAX(0,DATEDIF(K47,TODAY(),"M")-2),0))</f>
        <v>0</v>
      </c>
      <c r="O47" s="34">
        <f t="shared" si="3"/>
        <v>0</v>
      </c>
      <c r="P47" s="21">
        <f>SUMIF('🔄 REMBOURSEMENTS'!B:B,A47,'🔄 REMBOURSEMENTS'!F:F)</f>
        <v>0</v>
      </c>
      <c r="Q47" s="35">
        <f t="shared" si="4"/>
        <v>0</v>
      </c>
      <c r="R47" s="28" t="str">
        <f t="shared" ca="1" si="5"/>
        <v>—</v>
      </c>
    </row>
    <row r="48" spans="1:18" ht="21.75" customHeight="1" x14ac:dyDescent="0.3">
      <c r="A48" s="10" t="s">
        <v>187</v>
      </c>
      <c r="B48" s="32"/>
      <c r="C48" s="32"/>
      <c r="D48" s="32"/>
      <c r="E48" s="32"/>
      <c r="F48" s="32"/>
      <c r="G48" s="33">
        <f>IF(F48="",0,F48*'⚙️ PARAMÈTRES'!B10)</f>
        <v>0</v>
      </c>
      <c r="H48" s="32"/>
      <c r="I48" s="32"/>
      <c r="J48" s="32"/>
      <c r="K48" s="32"/>
      <c r="L48" s="23">
        <f>IF(F48="",0,F48*'⚙️ PARAMÈTRES'!B4)</f>
        <v>0</v>
      </c>
      <c r="M48" s="23">
        <f>IF(F48="",0,F48*'⚙️ PARAMÈTRES'!B4*2)</f>
        <v>0</v>
      </c>
      <c r="N48" s="24">
        <f ca="1">IF(OR(F48="",K48=""),0,IF(AND(R48&lt;&gt;"Soldé",TODAY()&gt;K48+60),(F48-P48)*'⚙️ PARAMÈTRES'!B5*MAX(0,DATEDIF(K48,TODAY(),"M")-2),0))</f>
        <v>0</v>
      </c>
      <c r="O48" s="34">
        <f t="shared" si="3"/>
        <v>0</v>
      </c>
      <c r="P48" s="21">
        <f>SUMIF('🔄 REMBOURSEMENTS'!B:B,A48,'🔄 REMBOURSEMENTS'!F:F)</f>
        <v>0</v>
      </c>
      <c r="Q48" s="35">
        <f t="shared" si="4"/>
        <v>0</v>
      </c>
      <c r="R48" s="25" t="str">
        <f t="shared" ca="1" si="5"/>
        <v>—</v>
      </c>
    </row>
    <row r="49" spans="1:18" ht="21.75" customHeight="1" x14ac:dyDescent="0.3">
      <c r="A49" s="10" t="s">
        <v>188</v>
      </c>
      <c r="B49" s="36"/>
      <c r="C49" s="36"/>
      <c r="D49" s="36"/>
      <c r="E49" s="36"/>
      <c r="F49" s="36"/>
      <c r="G49" s="33">
        <f>IF(F49="",0,F49*'⚙️ PARAMÈTRES'!B10)</f>
        <v>0</v>
      </c>
      <c r="H49" s="36"/>
      <c r="I49" s="36"/>
      <c r="J49" s="36"/>
      <c r="K49" s="36"/>
      <c r="L49" s="23">
        <f>IF(F49="",0,F49*'⚙️ PARAMÈTRES'!B4)</f>
        <v>0</v>
      </c>
      <c r="M49" s="23">
        <f>IF(F49="",0,F49*'⚙️ PARAMÈTRES'!B4*2)</f>
        <v>0</v>
      </c>
      <c r="N49" s="24">
        <f ca="1">IF(OR(F49="",K49=""),0,IF(AND(R49&lt;&gt;"Soldé",TODAY()&gt;K49+60),(F49-P49)*'⚙️ PARAMÈTRES'!B5*MAX(0,DATEDIF(K49,TODAY(),"M")-2),0))</f>
        <v>0</v>
      </c>
      <c r="O49" s="34">
        <f t="shared" si="3"/>
        <v>0</v>
      </c>
      <c r="P49" s="21">
        <f>SUMIF('🔄 REMBOURSEMENTS'!B:B,A49,'🔄 REMBOURSEMENTS'!F:F)</f>
        <v>0</v>
      </c>
      <c r="Q49" s="35">
        <f t="shared" si="4"/>
        <v>0</v>
      </c>
      <c r="R49" s="28" t="str">
        <f t="shared" ca="1" si="5"/>
        <v>—</v>
      </c>
    </row>
    <row r="50" spans="1:18" ht="21.75" customHeight="1" x14ac:dyDescent="0.3">
      <c r="A50" s="10" t="s">
        <v>189</v>
      </c>
      <c r="B50" s="32"/>
      <c r="C50" s="32"/>
      <c r="D50" s="32"/>
      <c r="E50" s="32"/>
      <c r="F50" s="32"/>
      <c r="G50" s="33">
        <f>IF(F50="",0,F50*'⚙️ PARAMÈTRES'!B10)</f>
        <v>0</v>
      </c>
      <c r="H50" s="32"/>
      <c r="I50" s="32"/>
      <c r="J50" s="32"/>
      <c r="K50" s="32"/>
      <c r="L50" s="23">
        <f>IF(F50="",0,F50*'⚙️ PARAMÈTRES'!B4)</f>
        <v>0</v>
      </c>
      <c r="M50" s="23">
        <f>IF(F50="",0,F50*'⚙️ PARAMÈTRES'!B4*2)</f>
        <v>0</v>
      </c>
      <c r="N50" s="24">
        <f ca="1">IF(OR(F50="",K50=""),0,IF(AND(R50&lt;&gt;"Soldé",TODAY()&gt;K50+60),(F50-P50)*'⚙️ PARAMÈTRES'!B5*MAX(0,DATEDIF(K50,TODAY(),"M")-2),0))</f>
        <v>0</v>
      </c>
      <c r="O50" s="34">
        <f t="shared" si="3"/>
        <v>0</v>
      </c>
      <c r="P50" s="21">
        <f>SUMIF('🔄 REMBOURSEMENTS'!B:B,A50,'🔄 REMBOURSEMENTS'!F:F)</f>
        <v>0</v>
      </c>
      <c r="Q50" s="35">
        <f t="shared" si="4"/>
        <v>0</v>
      </c>
      <c r="R50" s="25" t="str">
        <f t="shared" ca="1" si="5"/>
        <v>—</v>
      </c>
    </row>
    <row r="51" spans="1:18" ht="21.75" customHeight="1" x14ac:dyDescent="0.3">
      <c r="A51" s="10" t="s">
        <v>190</v>
      </c>
      <c r="B51" s="36"/>
      <c r="C51" s="36"/>
      <c r="D51" s="36"/>
      <c r="E51" s="36"/>
      <c r="F51" s="36"/>
      <c r="G51" s="33">
        <f>IF(F51="",0,F51*'⚙️ PARAMÈTRES'!B10)</f>
        <v>0</v>
      </c>
      <c r="H51" s="36"/>
      <c r="I51" s="36"/>
      <c r="J51" s="36"/>
      <c r="K51" s="36"/>
      <c r="L51" s="23">
        <f>IF(F51="",0,F51*'⚙️ PARAMÈTRES'!B4)</f>
        <v>0</v>
      </c>
      <c r="M51" s="23">
        <f>IF(F51="",0,F51*'⚙️ PARAMÈTRES'!B4*2)</f>
        <v>0</v>
      </c>
      <c r="N51" s="24">
        <f ca="1">IF(OR(F51="",K51=""),0,IF(AND(R51&lt;&gt;"Soldé",TODAY()&gt;K51+60),(F51-P51)*'⚙️ PARAMÈTRES'!B5*MAX(0,DATEDIF(K51,TODAY(),"M")-2),0))</f>
        <v>0</v>
      </c>
      <c r="O51" s="34">
        <f t="shared" si="3"/>
        <v>0</v>
      </c>
      <c r="P51" s="21">
        <f>SUMIF('🔄 REMBOURSEMENTS'!B:B,A51,'🔄 REMBOURSEMENTS'!F:F)</f>
        <v>0</v>
      </c>
      <c r="Q51" s="35">
        <f t="shared" si="4"/>
        <v>0</v>
      </c>
      <c r="R51" s="28" t="str">
        <f t="shared" ca="1" si="5"/>
        <v>—</v>
      </c>
    </row>
    <row r="52" spans="1:18" ht="21.75" customHeight="1" x14ac:dyDescent="0.3">
      <c r="A52" s="10" t="s">
        <v>191</v>
      </c>
      <c r="B52" s="32"/>
      <c r="C52" s="32"/>
      <c r="D52" s="32"/>
      <c r="E52" s="32"/>
      <c r="F52" s="32"/>
      <c r="G52" s="33">
        <f>IF(F52="",0,F52*'⚙️ PARAMÈTRES'!B10)</f>
        <v>0</v>
      </c>
      <c r="H52" s="32"/>
      <c r="I52" s="32"/>
      <c r="J52" s="32"/>
      <c r="K52" s="32"/>
      <c r="L52" s="23">
        <f>IF(F52="",0,F52*'⚙️ PARAMÈTRES'!B4)</f>
        <v>0</v>
      </c>
      <c r="M52" s="23">
        <f>IF(F52="",0,F52*'⚙️ PARAMÈTRES'!B4*2)</f>
        <v>0</v>
      </c>
      <c r="N52" s="24">
        <f ca="1">IF(OR(F52="",K52=""),0,IF(AND(R52&lt;&gt;"Soldé",TODAY()&gt;K52+60),(F52-P52)*'⚙️ PARAMÈTRES'!B5*MAX(0,DATEDIF(K52,TODAY(),"M")-2),0))</f>
        <v>0</v>
      </c>
      <c r="O52" s="34">
        <f t="shared" si="3"/>
        <v>0</v>
      </c>
      <c r="P52" s="21">
        <f>SUMIF('🔄 REMBOURSEMENTS'!B:B,A52,'🔄 REMBOURSEMENTS'!F:F)</f>
        <v>0</v>
      </c>
      <c r="Q52" s="35">
        <f t="shared" si="4"/>
        <v>0</v>
      </c>
      <c r="R52" s="25" t="str">
        <f t="shared" ca="1" si="5"/>
        <v>—</v>
      </c>
    </row>
    <row r="53" spans="1:18" ht="21.75" customHeight="1" x14ac:dyDescent="0.3">
      <c r="A53" s="10" t="s">
        <v>192</v>
      </c>
      <c r="B53" s="36"/>
      <c r="C53" s="36"/>
      <c r="D53" s="36"/>
      <c r="E53" s="36"/>
      <c r="F53" s="36"/>
      <c r="G53" s="33">
        <f>IF(F53="",0,F53*'⚙️ PARAMÈTRES'!B10)</f>
        <v>0</v>
      </c>
      <c r="H53" s="36"/>
      <c r="I53" s="36"/>
      <c r="J53" s="36"/>
      <c r="K53" s="36"/>
      <c r="L53" s="23">
        <f>IF(F53="",0,F53*'⚙️ PARAMÈTRES'!B4)</f>
        <v>0</v>
      </c>
      <c r="M53" s="23">
        <f>IF(F53="",0,F53*'⚙️ PARAMÈTRES'!B4*2)</f>
        <v>0</v>
      </c>
      <c r="N53" s="24">
        <f ca="1">IF(OR(F53="",K53=""),0,IF(AND(R53&lt;&gt;"Soldé",TODAY()&gt;K53+60),(F53-P53)*'⚙️ PARAMÈTRES'!B5*MAX(0,DATEDIF(K53,TODAY(),"M")-2),0))</f>
        <v>0</v>
      </c>
      <c r="O53" s="34">
        <f t="shared" si="3"/>
        <v>0</v>
      </c>
      <c r="P53" s="21">
        <f>SUMIF('🔄 REMBOURSEMENTS'!B:B,A53,'🔄 REMBOURSEMENTS'!F:F)</f>
        <v>0</v>
      </c>
      <c r="Q53" s="35">
        <f t="shared" si="4"/>
        <v>0</v>
      </c>
      <c r="R53" s="28" t="str">
        <f t="shared" ca="1" si="5"/>
        <v>—</v>
      </c>
    </row>
    <row r="54" spans="1:18" ht="21.75" customHeight="1" x14ac:dyDescent="0.3">
      <c r="A54" s="10" t="s">
        <v>193</v>
      </c>
      <c r="B54" s="32"/>
      <c r="C54" s="32"/>
      <c r="D54" s="32"/>
      <c r="E54" s="32"/>
      <c r="F54" s="32"/>
      <c r="G54" s="33">
        <f>IF(F54="",0,F54*'⚙️ PARAMÈTRES'!B10)</f>
        <v>0</v>
      </c>
      <c r="H54" s="32"/>
      <c r="I54" s="32"/>
      <c r="J54" s="32"/>
      <c r="K54" s="32"/>
      <c r="L54" s="23">
        <f>IF(F54="",0,F54*'⚙️ PARAMÈTRES'!B4)</f>
        <v>0</v>
      </c>
      <c r="M54" s="23">
        <f>IF(F54="",0,F54*'⚙️ PARAMÈTRES'!B4*2)</f>
        <v>0</v>
      </c>
      <c r="N54" s="24">
        <f ca="1">IF(OR(F54="",K54=""),0,IF(AND(R54&lt;&gt;"Soldé",TODAY()&gt;K54+60),(F54-P54)*'⚙️ PARAMÈTRES'!B5*MAX(0,DATEDIF(K54,TODAY(),"M")-2),0))</f>
        <v>0</v>
      </c>
      <c r="O54" s="34">
        <f t="shared" si="3"/>
        <v>0</v>
      </c>
      <c r="P54" s="21">
        <f>SUMIF('🔄 REMBOURSEMENTS'!B:B,A54,'🔄 REMBOURSEMENTS'!F:F)</f>
        <v>0</v>
      </c>
      <c r="Q54" s="35">
        <f t="shared" si="4"/>
        <v>0</v>
      </c>
      <c r="R54" s="25" t="str">
        <f t="shared" ca="1" si="5"/>
        <v>—</v>
      </c>
    </row>
    <row r="55" spans="1:18" ht="21.75" customHeight="1" x14ac:dyDescent="0.3">
      <c r="A55" s="10" t="s">
        <v>194</v>
      </c>
      <c r="B55" s="36"/>
      <c r="C55" s="36"/>
      <c r="D55" s="36"/>
      <c r="E55" s="36"/>
      <c r="F55" s="36"/>
      <c r="G55" s="33">
        <f>IF(F55="",0,F55*'⚙️ PARAMÈTRES'!B10)</f>
        <v>0</v>
      </c>
      <c r="H55" s="36"/>
      <c r="I55" s="36"/>
      <c r="J55" s="36"/>
      <c r="K55" s="36"/>
      <c r="L55" s="23">
        <f>IF(F55="",0,F55*'⚙️ PARAMÈTRES'!B4)</f>
        <v>0</v>
      </c>
      <c r="M55" s="23">
        <f>IF(F55="",0,F55*'⚙️ PARAMÈTRES'!B4*2)</f>
        <v>0</v>
      </c>
      <c r="N55" s="24">
        <f ca="1">IF(OR(F55="",K55=""),0,IF(AND(R55&lt;&gt;"Soldé",TODAY()&gt;K55+60),(F55-P55)*'⚙️ PARAMÈTRES'!B5*MAX(0,DATEDIF(K55,TODAY(),"M")-2),0))</f>
        <v>0</v>
      </c>
      <c r="O55" s="34">
        <f t="shared" si="3"/>
        <v>0</v>
      </c>
      <c r="P55" s="21">
        <f>SUMIF('🔄 REMBOURSEMENTS'!B:B,A55,'🔄 REMBOURSEMENTS'!F:F)</f>
        <v>0</v>
      </c>
      <c r="Q55" s="35">
        <f t="shared" si="4"/>
        <v>0</v>
      </c>
      <c r="R55" s="28" t="str">
        <f t="shared" ca="1" si="5"/>
        <v>—</v>
      </c>
    </row>
    <row r="56" spans="1:18" ht="21.75" customHeight="1" x14ac:dyDescent="0.3">
      <c r="A56" s="10" t="s">
        <v>195</v>
      </c>
      <c r="B56" s="32"/>
      <c r="C56" s="32"/>
      <c r="D56" s="32"/>
      <c r="E56" s="32"/>
      <c r="F56" s="32"/>
      <c r="G56" s="33">
        <f>IF(F56="",0,F56*'⚙️ PARAMÈTRES'!B10)</f>
        <v>0</v>
      </c>
      <c r="H56" s="32"/>
      <c r="I56" s="32"/>
      <c r="J56" s="32"/>
      <c r="K56" s="32"/>
      <c r="L56" s="23">
        <f>IF(F56="",0,F56*'⚙️ PARAMÈTRES'!B4)</f>
        <v>0</v>
      </c>
      <c r="M56" s="23">
        <f>IF(F56="",0,F56*'⚙️ PARAMÈTRES'!B4*2)</f>
        <v>0</v>
      </c>
      <c r="N56" s="24">
        <f ca="1">IF(OR(F56="",K56=""),0,IF(AND(R56&lt;&gt;"Soldé",TODAY()&gt;K56+60),(F56-P56)*'⚙️ PARAMÈTRES'!B5*MAX(0,DATEDIF(K56,TODAY(),"M")-2),0))</f>
        <v>0</v>
      </c>
      <c r="O56" s="34">
        <f t="shared" si="3"/>
        <v>0</v>
      </c>
      <c r="P56" s="21">
        <f>SUMIF('🔄 REMBOURSEMENTS'!B:B,A56,'🔄 REMBOURSEMENTS'!F:F)</f>
        <v>0</v>
      </c>
      <c r="Q56" s="35">
        <f t="shared" si="4"/>
        <v>0</v>
      </c>
      <c r="R56" s="25" t="str">
        <f t="shared" ca="1" si="5"/>
        <v>—</v>
      </c>
    </row>
    <row r="57" spans="1:18" ht="21.75" customHeight="1" x14ac:dyDescent="0.3">
      <c r="A57" s="10" t="s">
        <v>196</v>
      </c>
      <c r="B57" s="36"/>
      <c r="C57" s="36"/>
      <c r="D57" s="36"/>
      <c r="E57" s="36"/>
      <c r="F57" s="36"/>
      <c r="G57" s="33">
        <f>IF(F57="",0,F57*'⚙️ PARAMÈTRES'!B10)</f>
        <v>0</v>
      </c>
      <c r="H57" s="36"/>
      <c r="I57" s="36"/>
      <c r="J57" s="36"/>
      <c r="K57" s="36"/>
      <c r="L57" s="23">
        <f>IF(F57="",0,F57*'⚙️ PARAMÈTRES'!B4)</f>
        <v>0</v>
      </c>
      <c r="M57" s="23">
        <f>IF(F57="",0,F57*'⚙️ PARAMÈTRES'!B4*2)</f>
        <v>0</v>
      </c>
      <c r="N57" s="24">
        <f ca="1">IF(OR(F57="",K57=""),0,IF(AND(R57&lt;&gt;"Soldé",TODAY()&gt;K57+60),(F57-P57)*'⚙️ PARAMÈTRES'!B5*MAX(0,DATEDIF(K57,TODAY(),"M")-2),0))</f>
        <v>0</v>
      </c>
      <c r="O57" s="34">
        <f t="shared" si="3"/>
        <v>0</v>
      </c>
      <c r="P57" s="21">
        <f>SUMIF('🔄 REMBOURSEMENTS'!B:B,A57,'🔄 REMBOURSEMENTS'!F:F)</f>
        <v>0</v>
      </c>
      <c r="Q57" s="35">
        <f t="shared" si="4"/>
        <v>0</v>
      </c>
      <c r="R57" s="28" t="str">
        <f t="shared" ca="1" si="5"/>
        <v>—</v>
      </c>
    </row>
    <row r="58" spans="1:18" ht="21.75" customHeight="1" x14ac:dyDescent="0.3">
      <c r="A58" s="10" t="s">
        <v>197</v>
      </c>
      <c r="B58" s="32"/>
      <c r="C58" s="32"/>
      <c r="D58" s="32"/>
      <c r="E58" s="32"/>
      <c r="F58" s="32"/>
      <c r="G58" s="33">
        <f>IF(F58="",0,F58*'⚙️ PARAMÈTRES'!B10)</f>
        <v>0</v>
      </c>
      <c r="H58" s="32"/>
      <c r="I58" s="32"/>
      <c r="J58" s="32"/>
      <c r="K58" s="32"/>
      <c r="L58" s="23">
        <f>IF(F58="",0,F58*'⚙️ PARAMÈTRES'!B4)</f>
        <v>0</v>
      </c>
      <c r="M58" s="23">
        <f>IF(F58="",0,F58*'⚙️ PARAMÈTRES'!B4*2)</f>
        <v>0</v>
      </c>
      <c r="N58" s="24">
        <f ca="1">IF(OR(F58="",K58=""),0,IF(AND(R58&lt;&gt;"Soldé",TODAY()&gt;K58+60),(F58-P58)*'⚙️ PARAMÈTRES'!B5*MAX(0,DATEDIF(K58,TODAY(),"M")-2),0))</f>
        <v>0</v>
      </c>
      <c r="O58" s="34">
        <f t="shared" si="3"/>
        <v>0</v>
      </c>
      <c r="P58" s="21">
        <f>SUMIF('🔄 REMBOURSEMENTS'!B:B,A58,'🔄 REMBOURSEMENTS'!F:F)</f>
        <v>0</v>
      </c>
      <c r="Q58" s="35">
        <f t="shared" si="4"/>
        <v>0</v>
      </c>
      <c r="R58" s="25" t="str">
        <f t="shared" ca="1" si="5"/>
        <v>—</v>
      </c>
    </row>
    <row r="59" spans="1:18" ht="21.75" customHeight="1" x14ac:dyDescent="0.3">
      <c r="A59" s="10" t="s">
        <v>198</v>
      </c>
      <c r="B59" s="36"/>
      <c r="C59" s="36"/>
      <c r="D59" s="36"/>
      <c r="E59" s="36"/>
      <c r="F59" s="36"/>
      <c r="G59" s="33">
        <f>IF(F59="",0,F59*'⚙️ PARAMÈTRES'!B10)</f>
        <v>0</v>
      </c>
      <c r="H59" s="36"/>
      <c r="I59" s="36"/>
      <c r="J59" s="36"/>
      <c r="K59" s="36"/>
      <c r="L59" s="23">
        <f>IF(F59="",0,F59*'⚙️ PARAMÈTRES'!B4)</f>
        <v>0</v>
      </c>
      <c r="M59" s="23">
        <f>IF(F59="",0,F59*'⚙️ PARAMÈTRES'!B4*2)</f>
        <v>0</v>
      </c>
      <c r="N59" s="24">
        <f ca="1">IF(OR(F59="",K59=""),0,IF(AND(R59&lt;&gt;"Soldé",TODAY()&gt;K59+60),(F59-P59)*'⚙️ PARAMÈTRES'!B5*MAX(0,DATEDIF(K59,TODAY(),"M")-2),0))</f>
        <v>0</v>
      </c>
      <c r="O59" s="34">
        <f t="shared" si="3"/>
        <v>0</v>
      </c>
      <c r="P59" s="21">
        <f>SUMIF('🔄 REMBOURSEMENTS'!B:B,A59,'🔄 REMBOURSEMENTS'!F:F)</f>
        <v>0</v>
      </c>
      <c r="Q59" s="35">
        <f t="shared" si="4"/>
        <v>0</v>
      </c>
      <c r="R59" s="28" t="str">
        <f t="shared" ca="1" si="5"/>
        <v>—</v>
      </c>
    </row>
    <row r="60" spans="1:18" ht="21.75" customHeight="1" x14ac:dyDescent="0.3">
      <c r="A60" s="10" t="s">
        <v>199</v>
      </c>
      <c r="B60" s="32"/>
      <c r="C60" s="32"/>
      <c r="D60" s="32"/>
      <c r="E60" s="32"/>
      <c r="F60" s="32"/>
      <c r="G60" s="33">
        <f>IF(F60="",0,F60*'⚙️ PARAMÈTRES'!B10)</f>
        <v>0</v>
      </c>
      <c r="H60" s="32"/>
      <c r="I60" s="32"/>
      <c r="J60" s="32"/>
      <c r="K60" s="32"/>
      <c r="L60" s="23">
        <f>IF(F60="",0,F60*'⚙️ PARAMÈTRES'!B4)</f>
        <v>0</v>
      </c>
      <c r="M60" s="23">
        <f>IF(F60="",0,F60*'⚙️ PARAMÈTRES'!B4*2)</f>
        <v>0</v>
      </c>
      <c r="N60" s="24">
        <f ca="1">IF(OR(F60="",K60=""),0,IF(AND(R60&lt;&gt;"Soldé",TODAY()&gt;K60+60),(F60-P60)*'⚙️ PARAMÈTRES'!B5*MAX(0,DATEDIF(K60,TODAY(),"M")-2),0))</f>
        <v>0</v>
      </c>
      <c r="O60" s="34">
        <f t="shared" si="3"/>
        <v>0</v>
      </c>
      <c r="P60" s="21">
        <f>SUMIF('🔄 REMBOURSEMENTS'!B:B,A60,'🔄 REMBOURSEMENTS'!F:F)</f>
        <v>0</v>
      </c>
      <c r="Q60" s="35">
        <f t="shared" si="4"/>
        <v>0</v>
      </c>
      <c r="R60" s="25" t="str">
        <f t="shared" ca="1" si="5"/>
        <v>—</v>
      </c>
    </row>
    <row r="61" spans="1:18" ht="21.75" customHeight="1" x14ac:dyDescent="0.3">
      <c r="A61" s="10" t="s">
        <v>200</v>
      </c>
      <c r="B61" s="36"/>
      <c r="C61" s="36"/>
      <c r="D61" s="36"/>
      <c r="E61" s="36"/>
      <c r="F61" s="36"/>
      <c r="G61" s="33">
        <f>IF(F61="",0,F61*'⚙️ PARAMÈTRES'!B10)</f>
        <v>0</v>
      </c>
      <c r="H61" s="36"/>
      <c r="I61" s="36"/>
      <c r="J61" s="36"/>
      <c r="K61" s="36"/>
      <c r="L61" s="23">
        <f>IF(F61="",0,F61*'⚙️ PARAMÈTRES'!B4)</f>
        <v>0</v>
      </c>
      <c r="M61" s="23">
        <f>IF(F61="",0,F61*'⚙️ PARAMÈTRES'!B4*2)</f>
        <v>0</v>
      </c>
      <c r="N61" s="24">
        <f ca="1">IF(OR(F61="",K61=""),0,IF(AND(R61&lt;&gt;"Soldé",TODAY()&gt;K61+60),(F61-P61)*'⚙️ PARAMÈTRES'!B5*MAX(0,DATEDIF(K61,TODAY(),"M")-2),0))</f>
        <v>0</v>
      </c>
      <c r="O61" s="34">
        <f t="shared" si="3"/>
        <v>0</v>
      </c>
      <c r="P61" s="21">
        <f>SUMIF('🔄 REMBOURSEMENTS'!B:B,A61,'🔄 REMBOURSEMENTS'!F:F)</f>
        <v>0</v>
      </c>
      <c r="Q61" s="35">
        <f t="shared" si="4"/>
        <v>0</v>
      </c>
      <c r="R61" s="28" t="str">
        <f t="shared" ca="1" si="5"/>
        <v>—</v>
      </c>
    </row>
    <row r="62" spans="1:18" ht="21.75" customHeight="1" x14ac:dyDescent="0.3">
      <c r="A62" s="10" t="s">
        <v>201</v>
      </c>
      <c r="B62" s="32"/>
      <c r="C62" s="32"/>
      <c r="D62" s="32"/>
      <c r="E62" s="32"/>
      <c r="F62" s="32"/>
      <c r="G62" s="33">
        <f>IF(F62="",0,F62*'⚙️ PARAMÈTRES'!B10)</f>
        <v>0</v>
      </c>
      <c r="H62" s="32"/>
      <c r="I62" s="32"/>
      <c r="J62" s="32"/>
      <c r="K62" s="32"/>
      <c r="L62" s="23">
        <f>IF(F62="",0,F62*'⚙️ PARAMÈTRES'!B4)</f>
        <v>0</v>
      </c>
      <c r="M62" s="23">
        <f>IF(F62="",0,F62*'⚙️ PARAMÈTRES'!B4*2)</f>
        <v>0</v>
      </c>
      <c r="N62" s="24">
        <f ca="1">IF(OR(F62="",K62=""),0,IF(AND(R62&lt;&gt;"Soldé",TODAY()&gt;K62+60),(F62-P62)*'⚙️ PARAMÈTRES'!B5*MAX(0,DATEDIF(K62,TODAY(),"M")-2),0))</f>
        <v>0</v>
      </c>
      <c r="O62" s="34">
        <f t="shared" si="3"/>
        <v>0</v>
      </c>
      <c r="P62" s="21">
        <f>SUMIF('🔄 REMBOURSEMENTS'!B:B,A62,'🔄 REMBOURSEMENTS'!F:F)</f>
        <v>0</v>
      </c>
      <c r="Q62" s="35">
        <f t="shared" si="4"/>
        <v>0</v>
      </c>
      <c r="R62" s="25" t="str">
        <f t="shared" ca="1" si="5"/>
        <v>—</v>
      </c>
    </row>
    <row r="63" spans="1:18" ht="21.75" customHeight="1" x14ac:dyDescent="0.3">
      <c r="A63" s="10" t="s">
        <v>202</v>
      </c>
      <c r="B63" s="36"/>
      <c r="C63" s="36"/>
      <c r="D63" s="36"/>
      <c r="E63" s="36"/>
      <c r="F63" s="36"/>
      <c r="G63" s="33">
        <f>IF(F63="",0,F63*'⚙️ PARAMÈTRES'!B10)</f>
        <v>0</v>
      </c>
      <c r="H63" s="36"/>
      <c r="I63" s="36"/>
      <c r="J63" s="36"/>
      <c r="K63" s="36"/>
      <c r="L63" s="23">
        <f>IF(F63="",0,F63*'⚙️ PARAMÈTRES'!B4)</f>
        <v>0</v>
      </c>
      <c r="M63" s="23">
        <f>IF(F63="",0,F63*'⚙️ PARAMÈTRES'!B4*2)</f>
        <v>0</v>
      </c>
      <c r="N63" s="24">
        <f ca="1">IF(OR(F63="",K63=""),0,IF(AND(R63&lt;&gt;"Soldé",TODAY()&gt;K63+60),(F63-P63)*'⚙️ PARAMÈTRES'!B5*MAX(0,DATEDIF(K63,TODAY(),"M")-2),0))</f>
        <v>0</v>
      </c>
      <c r="O63" s="34">
        <f t="shared" si="3"/>
        <v>0</v>
      </c>
      <c r="P63" s="21">
        <f>SUMIF('🔄 REMBOURSEMENTS'!B:B,A63,'🔄 REMBOURSEMENTS'!F:F)</f>
        <v>0</v>
      </c>
      <c r="Q63" s="35">
        <f t="shared" si="4"/>
        <v>0</v>
      </c>
      <c r="R63" s="28" t="str">
        <f t="shared" ca="1" si="5"/>
        <v>—</v>
      </c>
    </row>
    <row r="64" spans="1:18" ht="24" customHeight="1" x14ac:dyDescent="0.3">
      <c r="A64" s="104" t="s">
        <v>203</v>
      </c>
      <c r="B64" s="104"/>
      <c r="C64" s="104"/>
      <c r="D64" s="104"/>
      <c r="E64" s="104"/>
      <c r="F64" s="37">
        <f>SUM(F4:F63)</f>
        <v>0</v>
      </c>
      <c r="G64" s="37">
        <f>SUM(G4:G63)</f>
        <v>0</v>
      </c>
      <c r="H64" s="31"/>
      <c r="I64" s="31"/>
      <c r="J64" s="31"/>
      <c r="K64" s="31"/>
      <c r="L64" s="37">
        <f t="shared" ref="L64:Q64" si="6">SUM(L4:L63)</f>
        <v>0</v>
      </c>
      <c r="M64" s="37">
        <f t="shared" si="6"/>
        <v>0</v>
      </c>
      <c r="N64" s="37">
        <f t="shared" ca="1" si="6"/>
        <v>0</v>
      </c>
      <c r="O64" s="37">
        <f t="shared" si="6"/>
        <v>0</v>
      </c>
      <c r="P64" s="37">
        <f t="shared" si="6"/>
        <v>0</v>
      </c>
      <c r="Q64" s="37">
        <f t="shared" si="6"/>
        <v>0</v>
      </c>
      <c r="R64" s="31"/>
    </row>
  </sheetData>
  <mergeCells count="3">
    <mergeCell ref="A1:R1"/>
    <mergeCell ref="A2:R2"/>
    <mergeCell ref="A64:E64"/>
  </mergeCells>
  <conditionalFormatting sqref="R4:R63">
    <cfRule type="expression" dxfId="5" priority="2">
      <formula>ISNUMBER(SEARCH("Soldé",R4))</formula>
    </cfRule>
    <cfRule type="expression" dxfId="4" priority="3">
      <formula>ISNUMBER(SEARCH("Impayé",R4))</formula>
    </cfRule>
    <cfRule type="expression" dxfId="3" priority="4">
      <formula>ISNUMBER(SEARCH("retard",R4))</formula>
    </cfRule>
  </conditionalFormatting>
  <dataValidations count="1">
    <dataValidation type="list" sqref="R4:R63" xr:uid="{00000000-0002-0000-0400-000000000000}">
      <formula1>"En cours,Soldé,En retard,Impayé,Risque élevé"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L20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9" sqref="L9"/>
    </sheetView>
  </sheetViews>
  <sheetFormatPr baseColWidth="10" defaultColWidth="8.6640625" defaultRowHeight="14.4" x14ac:dyDescent="0.3"/>
  <cols>
    <col min="1" max="1" width="15" customWidth="1"/>
    <col min="2" max="2" width="13" customWidth="1"/>
    <col min="3" max="3" width="14" customWidth="1"/>
    <col min="4" max="4" width="18" customWidth="1"/>
    <col min="5" max="5" width="20" customWidth="1"/>
    <col min="6" max="6" width="13" customWidth="1"/>
    <col min="7" max="7" width="14" customWidth="1"/>
    <col min="8" max="9" width="12" customWidth="1"/>
    <col min="10" max="12" width="14" customWidth="1"/>
  </cols>
  <sheetData>
    <row r="1" spans="1:12" ht="31.5" customHeight="1" x14ac:dyDescent="0.3">
      <c r="A1" s="101" t="s">
        <v>204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3" spans="1:12" ht="36" customHeight="1" x14ac:dyDescent="0.3">
      <c r="A3" s="1" t="s">
        <v>205</v>
      </c>
      <c r="B3" s="1" t="s">
        <v>129</v>
      </c>
      <c r="C3" s="1" t="s">
        <v>42</v>
      </c>
      <c r="D3" s="1" t="s">
        <v>43</v>
      </c>
      <c r="E3" s="1" t="s">
        <v>44</v>
      </c>
      <c r="F3" s="1" t="s">
        <v>206</v>
      </c>
      <c r="G3" s="1" t="s">
        <v>207</v>
      </c>
      <c r="H3" s="1" t="s">
        <v>208</v>
      </c>
      <c r="I3" s="1" t="s">
        <v>209</v>
      </c>
      <c r="J3" s="1" t="s">
        <v>142</v>
      </c>
      <c r="K3" s="1" t="s">
        <v>51</v>
      </c>
      <c r="L3" s="1" t="s">
        <v>210</v>
      </c>
    </row>
    <row r="4" spans="1:12" ht="19.5" customHeight="1" x14ac:dyDescent="0.3">
      <c r="A4" s="38" t="s">
        <v>211</v>
      </c>
      <c r="B4" s="32"/>
      <c r="C4" s="25" t="str">
        <f>IF(B4="","",IFERROR(VLOOKUP(B4,'🏦 PRÊTS'!A:B,2,0),"?"))</f>
        <v/>
      </c>
      <c r="D4" s="18"/>
      <c r="E4" s="18" t="str">
        <f>IF(B4="","",IFERROR(VLOOKUP(B4,'🏦 PRÊTS'!A:D,4,0),"?"))</f>
        <v/>
      </c>
      <c r="F4" s="32"/>
      <c r="G4" s="32"/>
      <c r="H4" s="32"/>
      <c r="I4" s="32"/>
      <c r="J4" s="23" t="str">
        <f>IF(B4="","",IFERROR(VLOOKUP(B4,'🏦 PRÊTS'!A:Q,17,0),""))</f>
        <v/>
      </c>
      <c r="K4" s="25" t="str">
        <f>IF(J4="","—",IF(J4=0,"✅ K8Soldé","🔄 Partiel"))</f>
        <v>—</v>
      </c>
      <c r="L4" s="32"/>
    </row>
    <row r="5" spans="1:12" ht="19.5" customHeight="1" x14ac:dyDescent="0.3">
      <c r="A5" s="38" t="s">
        <v>212</v>
      </c>
      <c r="B5" s="36"/>
      <c r="C5" s="28" t="str">
        <f>IF(B5="","",IFERROR(VLOOKUP(B5,'🏦 PRÊTS'!A:B,2,0),"?"))</f>
        <v/>
      </c>
      <c r="D5" s="26" t="str">
        <f>IF(B5="","",IFERROR(VLOOKUP(B5,'🏦 PRÊTS'!A:C,3,0),"?"))</f>
        <v/>
      </c>
      <c r="E5" s="26" t="str">
        <f>IF(B5="","",IFERROR(VLOOKUP(B5,'🏦 PRÊTS'!A:D,4,0),"?"))</f>
        <v/>
      </c>
      <c r="F5" s="36"/>
      <c r="G5" s="36"/>
      <c r="H5" s="36"/>
      <c r="I5" s="36"/>
      <c r="J5" s="23" t="str">
        <f>IF(B5="","",IFERROR(VLOOKUP(B5,'🏦 PRÊTS'!A:Q,17,0),""))</f>
        <v/>
      </c>
      <c r="K5" s="28" t="str">
        <f t="shared" ref="K5:K35" si="0">IF(J5="","—",IF(J5=0,"✅ Soldé","🔄 Partiel"))</f>
        <v>—</v>
      </c>
      <c r="L5" s="36"/>
    </row>
    <row r="6" spans="1:12" ht="19.5" customHeight="1" x14ac:dyDescent="0.3">
      <c r="A6" s="38" t="s">
        <v>213</v>
      </c>
      <c r="B6" s="32"/>
      <c r="C6" s="25" t="str">
        <f>IF(B6="","",IFERROR(VLOOKUP(B6,'🏦 PRÊTS'!A:B,2,0),"?"))</f>
        <v/>
      </c>
      <c r="D6" s="18" t="str">
        <f>IF(B6="","",IFERROR(VLOOKUP(B6,'🏦 PRÊTS'!A:C,3,0),"?"))</f>
        <v/>
      </c>
      <c r="E6" s="18" t="str">
        <f>IF(B6="","",IFERROR(VLOOKUP(B6,'🏦 PRÊTS'!A:D,4,0),"?"))</f>
        <v/>
      </c>
      <c r="F6" s="32"/>
      <c r="G6" s="32"/>
      <c r="H6" s="32"/>
      <c r="I6" s="32"/>
      <c r="J6" s="23" t="str">
        <f>IF(B6="","",IFERROR(VLOOKUP(B6,'🏦 PRÊTS'!A:Q,17,0),""))</f>
        <v/>
      </c>
      <c r="K6" s="25" t="str">
        <f t="shared" si="0"/>
        <v>—</v>
      </c>
      <c r="L6" s="32"/>
    </row>
    <row r="7" spans="1:12" ht="19.5" customHeight="1" x14ac:dyDescent="0.3">
      <c r="A7" s="38" t="s">
        <v>214</v>
      </c>
      <c r="B7" s="36"/>
      <c r="C7" s="28" t="str">
        <f>IF(B7="","",IFERROR(VLOOKUP(B7,'🏦 PRÊTS'!A:B,2,0),"?"))</f>
        <v/>
      </c>
      <c r="D7" s="26" t="str">
        <f>IF(B7="","",IFERROR(VLOOKUP(B7,'🏦 PRÊTS'!A:C,3,0),"?"))</f>
        <v/>
      </c>
      <c r="E7" s="26" t="str">
        <f>IF(B7="","",IFERROR(VLOOKUP(B7,'🏦 PRÊTS'!A:D,4,0),"?"))</f>
        <v/>
      </c>
      <c r="F7" s="36"/>
      <c r="G7" s="36"/>
      <c r="H7" s="36"/>
      <c r="I7" s="36"/>
      <c r="J7" s="23" t="str">
        <f>IF(B7="","",IFERROR(VLOOKUP(B7,'🏦 PRÊTS'!A:Q,17,0),""))</f>
        <v/>
      </c>
      <c r="K7" s="28" t="str">
        <f t="shared" si="0"/>
        <v>—</v>
      </c>
      <c r="L7" s="36"/>
    </row>
    <row r="8" spans="1:12" ht="19.5" customHeight="1" x14ac:dyDescent="0.3">
      <c r="A8" s="38" t="s">
        <v>215</v>
      </c>
      <c r="B8" s="32"/>
      <c r="C8" s="25" t="str">
        <f>IF(B8="","",IFERROR(VLOOKUP(B8,'🏦 PRÊTS'!A:B,2,0),"?"))</f>
        <v/>
      </c>
      <c r="D8" s="18" t="str">
        <f>IF(B8="","",IFERROR(VLOOKUP(B8,'🏦 PRÊTS'!A:C,3,0),"?"))</f>
        <v/>
      </c>
      <c r="E8" s="18" t="str">
        <f>IF(B8="","",IFERROR(VLOOKUP(B8,'🏦 PRÊTS'!A:D,4,0),"?"))</f>
        <v/>
      </c>
      <c r="F8" s="32"/>
      <c r="G8" s="32"/>
      <c r="H8" s="32"/>
      <c r="I8" s="32"/>
      <c r="J8" s="23" t="str">
        <f>IF(B8="","",IFERROR(VLOOKUP(B8,'🏦 PRÊTS'!A:Q,17,0),""))</f>
        <v/>
      </c>
      <c r="K8" s="25" t="str">
        <f t="shared" si="0"/>
        <v>—</v>
      </c>
      <c r="L8" s="32"/>
    </row>
    <row r="9" spans="1:12" ht="19.5" customHeight="1" x14ac:dyDescent="0.3">
      <c r="A9" s="38" t="s">
        <v>216</v>
      </c>
      <c r="B9" s="36"/>
      <c r="C9" s="28" t="str">
        <f>IF(B9="","",IFERROR(VLOOKUP(B9,'🏦 PRÊTS'!A:B,2,0),"?"))</f>
        <v/>
      </c>
      <c r="D9" s="26" t="str">
        <f>IF(B9="","",IFERROR(VLOOKUP(B9,'🏦 PRÊTS'!A:C,3,0),"?"))</f>
        <v/>
      </c>
      <c r="E9" s="26" t="str">
        <f>IF(B9="","",IFERROR(VLOOKUP(B9,'🏦 PRÊTS'!A:D,4,0),"?"))</f>
        <v/>
      </c>
      <c r="F9" s="36"/>
      <c r="G9" s="36"/>
      <c r="H9" s="36"/>
      <c r="I9" s="36"/>
      <c r="J9" s="23" t="str">
        <f>IF(B9="","",IFERROR(VLOOKUP(B9,'🏦 PRÊTS'!A:Q,17,0),""))</f>
        <v/>
      </c>
      <c r="K9" s="28" t="str">
        <f t="shared" si="0"/>
        <v>—</v>
      </c>
      <c r="L9" s="36"/>
    </row>
    <row r="10" spans="1:12" ht="19.5" customHeight="1" x14ac:dyDescent="0.3">
      <c r="A10" s="38" t="s">
        <v>217</v>
      </c>
      <c r="B10" s="32"/>
      <c r="C10" s="25" t="str">
        <f>IF(B10="","",IFERROR(VLOOKUP(B10,'🏦 PRÊTS'!A:B,2,0),"?"))</f>
        <v/>
      </c>
      <c r="D10" s="18" t="str">
        <f>IF(B10="","",IFERROR(VLOOKUP(B10,'🏦 PRÊTS'!A:C,3,0),"?"))</f>
        <v/>
      </c>
      <c r="E10" s="18" t="str">
        <f>IF(B10="","",IFERROR(VLOOKUP(B10,'🏦 PRÊTS'!A:D,4,0),"?"))</f>
        <v/>
      </c>
      <c r="F10" s="32"/>
      <c r="G10" s="32"/>
      <c r="H10" s="32"/>
      <c r="I10" s="32"/>
      <c r="J10" s="23" t="str">
        <f>IF(B10="","",IFERROR(VLOOKUP(B10,'🏦 PRÊTS'!A:Q,17,0),""))</f>
        <v/>
      </c>
      <c r="K10" s="25" t="str">
        <f t="shared" si="0"/>
        <v>—</v>
      </c>
      <c r="L10" s="32"/>
    </row>
    <row r="11" spans="1:12" ht="19.5" customHeight="1" x14ac:dyDescent="0.3">
      <c r="A11" s="38" t="s">
        <v>218</v>
      </c>
      <c r="B11" s="36"/>
      <c r="C11" s="28" t="str">
        <f>IF(B11="","",IFERROR(VLOOKUP(B11,'🏦 PRÊTS'!A:B,2,0),"?"))</f>
        <v/>
      </c>
      <c r="D11" s="26" t="str">
        <f>IF(B11="","",IFERROR(VLOOKUP(B11,'🏦 PRÊTS'!A:C,3,0),"?"))</f>
        <v/>
      </c>
      <c r="E11" s="26" t="str">
        <f>IF(B11="","",IFERROR(VLOOKUP(B11,'🏦 PRÊTS'!A:D,4,0),"?"))</f>
        <v/>
      </c>
      <c r="F11" s="36"/>
      <c r="G11" s="36"/>
      <c r="H11" s="36"/>
      <c r="I11" s="36"/>
      <c r="J11" s="23" t="str">
        <f>IF(B11="","",IFERROR(VLOOKUP(B11,'🏦 PRÊTS'!A:Q,17,0),""))</f>
        <v/>
      </c>
      <c r="K11" s="28" t="str">
        <f t="shared" si="0"/>
        <v>—</v>
      </c>
      <c r="L11" s="36"/>
    </row>
    <row r="12" spans="1:12" ht="19.5" customHeight="1" x14ac:dyDescent="0.3">
      <c r="A12" s="38" t="s">
        <v>219</v>
      </c>
      <c r="B12" s="32"/>
      <c r="C12" s="25" t="str">
        <f>IF(B12="","",IFERROR(VLOOKUP(B12,'🏦 PRÊTS'!A:B,2,0),"?"))</f>
        <v/>
      </c>
      <c r="D12" s="18" t="str">
        <f>IF(B12="","",IFERROR(VLOOKUP(B12,'🏦 PRÊTS'!A:C,3,0),"?"))</f>
        <v/>
      </c>
      <c r="E12" s="18" t="str">
        <f>IF(B12="","",IFERROR(VLOOKUP(B12,'🏦 PRÊTS'!A:D,4,0),"?"))</f>
        <v/>
      </c>
      <c r="F12" s="32"/>
      <c r="G12" s="32"/>
      <c r="H12" s="32"/>
      <c r="I12" s="32"/>
      <c r="J12" s="23" t="str">
        <f>IF(B12="","",IFERROR(VLOOKUP(B12,'🏦 PRÊTS'!A:Q,17,0),""))</f>
        <v/>
      </c>
      <c r="K12" s="25" t="str">
        <f t="shared" si="0"/>
        <v>—</v>
      </c>
      <c r="L12" s="32"/>
    </row>
    <row r="13" spans="1:12" ht="19.5" customHeight="1" x14ac:dyDescent="0.3">
      <c r="A13" s="38" t="s">
        <v>220</v>
      </c>
      <c r="B13" s="36"/>
      <c r="C13" s="28" t="str">
        <f>IF(B13="","",IFERROR(VLOOKUP(B13,'🏦 PRÊTS'!A:B,2,0),"?"))</f>
        <v/>
      </c>
      <c r="D13" s="26" t="str">
        <f>IF(B13="","",IFERROR(VLOOKUP(B13,'🏦 PRÊTS'!A:C,3,0),"?"))</f>
        <v/>
      </c>
      <c r="E13" s="26" t="str">
        <f>IF(B13="","",IFERROR(VLOOKUP(B13,'🏦 PRÊTS'!A:D,4,0),"?"))</f>
        <v/>
      </c>
      <c r="F13" s="36"/>
      <c r="G13" s="36"/>
      <c r="H13" s="36"/>
      <c r="I13" s="36"/>
      <c r="J13" s="23" t="str">
        <f>IF(B13="","",IFERROR(VLOOKUP(B13,'🏦 PRÊTS'!A:Q,17,0),""))</f>
        <v/>
      </c>
      <c r="K13" s="28" t="str">
        <f t="shared" si="0"/>
        <v>—</v>
      </c>
      <c r="L13" s="36"/>
    </row>
    <row r="14" spans="1:12" ht="19.5" customHeight="1" x14ac:dyDescent="0.3">
      <c r="A14" s="38" t="s">
        <v>221</v>
      </c>
      <c r="B14" s="32"/>
      <c r="C14" s="25" t="str">
        <f>IF(B14="","",IFERROR(VLOOKUP(B14,'🏦 PRÊTS'!A:B,2,0),"?"))</f>
        <v/>
      </c>
      <c r="D14" s="18" t="str">
        <f>IF(B14="","",IFERROR(VLOOKUP(B14,'🏦 PRÊTS'!A:C,3,0),"?"))</f>
        <v/>
      </c>
      <c r="E14" s="18" t="str">
        <f>IF(B14="","",IFERROR(VLOOKUP(B14,'🏦 PRÊTS'!A:D,4,0),"?"))</f>
        <v/>
      </c>
      <c r="F14" s="32"/>
      <c r="G14" s="32"/>
      <c r="H14" s="32"/>
      <c r="I14" s="32"/>
      <c r="J14" s="23" t="str">
        <f>IF(B14="","",IFERROR(VLOOKUP(B14,'🏦 PRÊTS'!A:Q,17,0),""))</f>
        <v/>
      </c>
      <c r="K14" s="25" t="str">
        <f t="shared" si="0"/>
        <v>—</v>
      </c>
      <c r="L14" s="32"/>
    </row>
    <row r="15" spans="1:12" ht="19.5" customHeight="1" x14ac:dyDescent="0.3">
      <c r="A15" s="38" t="s">
        <v>222</v>
      </c>
      <c r="B15" s="36"/>
      <c r="C15" s="28" t="str">
        <f>IF(B15="","",IFERROR(VLOOKUP(B15,'🏦 PRÊTS'!A:B,2,0),"?"))</f>
        <v/>
      </c>
      <c r="D15" s="26" t="str">
        <f>IF(B15="","",IFERROR(VLOOKUP(B15,'🏦 PRÊTS'!A:C,3,0),"?"))</f>
        <v/>
      </c>
      <c r="E15" s="26" t="str">
        <f>IF(B15="","",IFERROR(VLOOKUP(B15,'🏦 PRÊTS'!A:D,4,0),"?"))</f>
        <v/>
      </c>
      <c r="F15" s="36"/>
      <c r="G15" s="36"/>
      <c r="H15" s="36"/>
      <c r="I15" s="36"/>
      <c r="J15" s="23" t="str">
        <f>IF(B15="","",IFERROR(VLOOKUP(B15,'🏦 PRÊTS'!A:Q,17,0),""))</f>
        <v/>
      </c>
      <c r="K15" s="28" t="str">
        <f t="shared" si="0"/>
        <v>—</v>
      </c>
      <c r="L15" s="36"/>
    </row>
    <row r="16" spans="1:12" ht="19.5" customHeight="1" x14ac:dyDescent="0.3">
      <c r="A16" s="38" t="s">
        <v>223</v>
      </c>
      <c r="B16" s="32"/>
      <c r="C16" s="25" t="str">
        <f>IF(B16="","",IFERROR(VLOOKUP(B16,'🏦 PRÊTS'!A:B,2,0),"?"))</f>
        <v/>
      </c>
      <c r="D16" s="18" t="str">
        <f>IF(B16="","",IFERROR(VLOOKUP(B16,'🏦 PRÊTS'!A:C,3,0),"?"))</f>
        <v/>
      </c>
      <c r="E16" s="18" t="str">
        <f>IF(B16="","",IFERROR(VLOOKUP(B16,'🏦 PRÊTS'!A:D,4,0),"?"))</f>
        <v/>
      </c>
      <c r="F16" s="32"/>
      <c r="G16" s="32"/>
      <c r="H16" s="32"/>
      <c r="I16" s="32"/>
      <c r="J16" s="23" t="str">
        <f>IF(B16="","",IFERROR(VLOOKUP(B16,'🏦 PRÊTS'!A:Q,17,0),""))</f>
        <v/>
      </c>
      <c r="K16" s="25" t="str">
        <f t="shared" si="0"/>
        <v>—</v>
      </c>
      <c r="L16" s="32"/>
    </row>
    <row r="17" spans="1:12" ht="19.5" customHeight="1" x14ac:dyDescent="0.3">
      <c r="A17" s="38" t="s">
        <v>224</v>
      </c>
      <c r="B17" s="36"/>
      <c r="C17" s="28" t="str">
        <f>IF(B17="","",IFERROR(VLOOKUP(B17,'🏦 PRÊTS'!A:B,2,0),"?"))</f>
        <v/>
      </c>
      <c r="D17" s="26" t="str">
        <f>IF(B17="","",IFERROR(VLOOKUP(B17,'🏦 PRÊTS'!A:C,3,0),"?"))</f>
        <v/>
      </c>
      <c r="E17" s="26" t="str">
        <f>IF(B17="","",IFERROR(VLOOKUP(B17,'🏦 PRÊTS'!A:D,4,0),"?"))</f>
        <v/>
      </c>
      <c r="F17" s="36"/>
      <c r="G17" s="36"/>
      <c r="H17" s="36"/>
      <c r="I17" s="36"/>
      <c r="J17" s="23" t="str">
        <f>IF(B17="","",IFERROR(VLOOKUP(B17,'🏦 PRÊTS'!A:Q,17,0),""))</f>
        <v/>
      </c>
      <c r="K17" s="28" t="str">
        <f t="shared" si="0"/>
        <v>—</v>
      </c>
      <c r="L17" s="36"/>
    </row>
    <row r="18" spans="1:12" ht="19.5" customHeight="1" x14ac:dyDescent="0.3">
      <c r="A18" s="38" t="s">
        <v>225</v>
      </c>
      <c r="B18" s="32"/>
      <c r="C18" s="25" t="str">
        <f>IF(B18="","",IFERROR(VLOOKUP(B18,'🏦 PRÊTS'!A:B,2,0),"?"))</f>
        <v/>
      </c>
      <c r="D18" s="18" t="str">
        <f>IF(B18="","",IFERROR(VLOOKUP(B18,'🏦 PRÊTS'!A:C,3,0),"?"))</f>
        <v/>
      </c>
      <c r="E18" s="18" t="str">
        <f>IF(B18="","",IFERROR(VLOOKUP(B18,'🏦 PRÊTS'!A:D,4,0),"?"))</f>
        <v/>
      </c>
      <c r="F18" s="32"/>
      <c r="G18" s="32"/>
      <c r="H18" s="32"/>
      <c r="I18" s="32"/>
      <c r="J18" s="23" t="str">
        <f>IF(B18="","",IFERROR(VLOOKUP(B18,'🏦 PRÊTS'!A:Q,17,0),""))</f>
        <v/>
      </c>
      <c r="K18" s="25" t="str">
        <f t="shared" si="0"/>
        <v>—</v>
      </c>
      <c r="L18" s="32"/>
    </row>
    <row r="19" spans="1:12" ht="19.5" customHeight="1" x14ac:dyDescent="0.3">
      <c r="A19" s="38" t="s">
        <v>226</v>
      </c>
      <c r="B19" s="36"/>
      <c r="C19" s="28" t="str">
        <f>IF(B19="","",IFERROR(VLOOKUP(B19,'🏦 PRÊTS'!A:B,2,0),"?"))</f>
        <v/>
      </c>
      <c r="D19" s="26" t="str">
        <f>IF(B19="","",IFERROR(VLOOKUP(B19,'🏦 PRÊTS'!A:C,3,0),"?"))</f>
        <v/>
      </c>
      <c r="E19" s="26" t="str">
        <f>IF(B19="","",IFERROR(VLOOKUP(B19,'🏦 PRÊTS'!A:D,4,0),"?"))</f>
        <v/>
      </c>
      <c r="F19" s="36"/>
      <c r="G19" s="36"/>
      <c r="H19" s="36"/>
      <c r="I19" s="36"/>
      <c r="J19" s="23" t="str">
        <f>IF(B19="","",IFERROR(VLOOKUP(B19,'🏦 PRÊTS'!A:Q,17,0),""))</f>
        <v/>
      </c>
      <c r="K19" s="28" t="str">
        <f t="shared" si="0"/>
        <v>—</v>
      </c>
      <c r="L19" s="36"/>
    </row>
    <row r="20" spans="1:12" ht="19.5" customHeight="1" x14ac:dyDescent="0.3">
      <c r="A20" s="38" t="s">
        <v>227</v>
      </c>
      <c r="B20" s="32"/>
      <c r="C20" s="25" t="str">
        <f>IF(B20="","",IFERROR(VLOOKUP(B20,'🏦 PRÊTS'!A:B,2,0),"?"))</f>
        <v/>
      </c>
      <c r="D20" s="18" t="str">
        <f>IF(B20="","",IFERROR(VLOOKUP(B20,'🏦 PRÊTS'!A:C,3,0),"?"))</f>
        <v/>
      </c>
      <c r="E20" s="18" t="str">
        <f>IF(B20="","",IFERROR(VLOOKUP(B20,'🏦 PRÊTS'!A:D,4,0),"?"))</f>
        <v/>
      </c>
      <c r="F20" s="32"/>
      <c r="G20" s="32"/>
      <c r="H20" s="32"/>
      <c r="I20" s="32"/>
      <c r="J20" s="23" t="str">
        <f>IF(B20="","",IFERROR(VLOOKUP(B20,'🏦 PRÊTS'!A:Q,17,0),""))</f>
        <v/>
      </c>
      <c r="K20" s="25" t="str">
        <f t="shared" si="0"/>
        <v>—</v>
      </c>
      <c r="L20" s="32"/>
    </row>
    <row r="21" spans="1:12" ht="19.5" customHeight="1" x14ac:dyDescent="0.3">
      <c r="A21" s="38" t="s">
        <v>228</v>
      </c>
      <c r="B21" s="36"/>
      <c r="C21" s="28" t="str">
        <f>IF(B21="","",IFERROR(VLOOKUP(B21,'🏦 PRÊTS'!A:B,2,0),"?"))</f>
        <v/>
      </c>
      <c r="D21" s="26" t="str">
        <f>IF(B21="","",IFERROR(VLOOKUP(B21,'🏦 PRÊTS'!A:C,3,0),"?"))</f>
        <v/>
      </c>
      <c r="E21" s="26" t="str">
        <f>IF(B21="","",IFERROR(VLOOKUP(B21,'🏦 PRÊTS'!A:D,4,0),"?"))</f>
        <v/>
      </c>
      <c r="F21" s="36"/>
      <c r="G21" s="36"/>
      <c r="H21" s="36"/>
      <c r="I21" s="36"/>
      <c r="J21" s="23" t="str">
        <f>IF(B21="","",IFERROR(VLOOKUP(B21,'🏦 PRÊTS'!A:Q,17,0),""))</f>
        <v/>
      </c>
      <c r="K21" s="28" t="str">
        <f t="shared" si="0"/>
        <v>—</v>
      </c>
      <c r="L21" s="36"/>
    </row>
    <row r="22" spans="1:12" ht="19.5" customHeight="1" x14ac:dyDescent="0.3">
      <c r="A22" s="38" t="s">
        <v>229</v>
      </c>
      <c r="B22" s="32"/>
      <c r="C22" s="25" t="str">
        <f>IF(B22="","",IFERROR(VLOOKUP(B22,'🏦 PRÊTS'!A:B,2,0),"?"))</f>
        <v/>
      </c>
      <c r="D22" s="18" t="str">
        <f>IF(B22="","",IFERROR(VLOOKUP(B22,'🏦 PRÊTS'!A:C,3,0),"?"))</f>
        <v/>
      </c>
      <c r="E22" s="18" t="str">
        <f>IF(B22="","",IFERROR(VLOOKUP(B22,'🏦 PRÊTS'!A:D,4,0),"?"))</f>
        <v/>
      </c>
      <c r="F22" s="32"/>
      <c r="G22" s="32"/>
      <c r="H22" s="32"/>
      <c r="I22" s="32"/>
      <c r="J22" s="23" t="str">
        <f>IF(B22="","",IFERROR(VLOOKUP(B22,'🏦 PRÊTS'!A:Q,17,0),""))</f>
        <v/>
      </c>
      <c r="K22" s="25" t="str">
        <f t="shared" si="0"/>
        <v>—</v>
      </c>
      <c r="L22" s="32"/>
    </row>
    <row r="23" spans="1:12" ht="19.5" customHeight="1" x14ac:dyDescent="0.3">
      <c r="A23" s="38" t="s">
        <v>230</v>
      </c>
      <c r="B23" s="36"/>
      <c r="C23" s="28" t="str">
        <f>IF(B23="","",IFERROR(VLOOKUP(B23,'🏦 PRÊTS'!A:B,2,0),"?"))</f>
        <v/>
      </c>
      <c r="D23" s="26" t="str">
        <f>IF(B23="","",IFERROR(VLOOKUP(B23,'🏦 PRÊTS'!A:C,3,0),"?"))</f>
        <v/>
      </c>
      <c r="E23" s="26" t="str">
        <f>IF(B23="","",IFERROR(VLOOKUP(B23,'🏦 PRÊTS'!A:D,4,0),"?"))</f>
        <v/>
      </c>
      <c r="F23" s="36"/>
      <c r="G23" s="36"/>
      <c r="H23" s="36"/>
      <c r="I23" s="36"/>
      <c r="J23" s="23" t="str">
        <f>IF(B23="","",IFERROR(VLOOKUP(B23,'🏦 PRÊTS'!A:Q,17,0),""))</f>
        <v/>
      </c>
      <c r="K23" s="28" t="str">
        <f t="shared" si="0"/>
        <v>—</v>
      </c>
      <c r="L23" s="36"/>
    </row>
    <row r="24" spans="1:12" ht="19.5" customHeight="1" x14ac:dyDescent="0.3">
      <c r="A24" s="38" t="s">
        <v>231</v>
      </c>
      <c r="B24" s="32"/>
      <c r="C24" s="25" t="str">
        <f>IF(B24="","",IFERROR(VLOOKUP(B24,'🏦 PRÊTS'!A:B,2,0),"?"))</f>
        <v/>
      </c>
      <c r="D24" s="18" t="str">
        <f>IF(B24="","",IFERROR(VLOOKUP(B24,'🏦 PRÊTS'!A:C,3,0),"?"))</f>
        <v/>
      </c>
      <c r="E24" s="18" t="str">
        <f>IF(B24="","",IFERROR(VLOOKUP(B24,'🏦 PRÊTS'!A:D,4,0),"?"))</f>
        <v/>
      </c>
      <c r="F24" s="32"/>
      <c r="G24" s="32"/>
      <c r="H24" s="32"/>
      <c r="I24" s="32"/>
      <c r="J24" s="23" t="str">
        <f>IF(B24="","",IFERROR(VLOOKUP(B24,'🏦 PRÊTS'!A:Q,17,0),""))</f>
        <v/>
      </c>
      <c r="K24" s="25" t="str">
        <f t="shared" si="0"/>
        <v>—</v>
      </c>
      <c r="L24" s="32"/>
    </row>
    <row r="25" spans="1:12" ht="19.5" customHeight="1" x14ac:dyDescent="0.3">
      <c r="A25" s="38" t="s">
        <v>232</v>
      </c>
      <c r="B25" s="36"/>
      <c r="C25" s="28" t="str">
        <f>IF(B25="","",IFERROR(VLOOKUP(B25,'🏦 PRÊTS'!A:B,2,0),"?"))</f>
        <v/>
      </c>
      <c r="D25" s="26" t="str">
        <f>IF(B25="","",IFERROR(VLOOKUP(B25,'🏦 PRÊTS'!A:C,3,0),"?"))</f>
        <v/>
      </c>
      <c r="E25" s="26" t="str">
        <f>IF(B25="","",IFERROR(VLOOKUP(B25,'🏦 PRÊTS'!A:D,4,0),"?"))</f>
        <v/>
      </c>
      <c r="F25" s="36"/>
      <c r="G25" s="36"/>
      <c r="H25" s="36"/>
      <c r="I25" s="36"/>
      <c r="J25" s="23" t="str">
        <f>IF(B25="","",IFERROR(VLOOKUP(B25,'🏦 PRÊTS'!A:Q,17,0),""))</f>
        <v/>
      </c>
      <c r="K25" s="28" t="str">
        <f t="shared" si="0"/>
        <v>—</v>
      </c>
      <c r="L25" s="36"/>
    </row>
    <row r="26" spans="1:12" ht="19.5" customHeight="1" x14ac:dyDescent="0.3">
      <c r="A26" s="38" t="s">
        <v>233</v>
      </c>
      <c r="B26" s="32"/>
      <c r="C26" s="25" t="str">
        <f>IF(B26="","",IFERROR(VLOOKUP(B26,'🏦 PRÊTS'!A:B,2,0),"?"))</f>
        <v/>
      </c>
      <c r="D26" s="18" t="str">
        <f>IF(B26="","",IFERROR(VLOOKUP(B26,'🏦 PRÊTS'!A:C,3,0),"?"))</f>
        <v/>
      </c>
      <c r="E26" s="18" t="str">
        <f>IF(B26="","",IFERROR(VLOOKUP(B26,'🏦 PRÊTS'!A:D,4,0),"?"))</f>
        <v/>
      </c>
      <c r="F26" s="32"/>
      <c r="G26" s="32"/>
      <c r="H26" s="32"/>
      <c r="I26" s="32"/>
      <c r="J26" s="23" t="str">
        <f>IF(B26="","",IFERROR(VLOOKUP(B26,'🏦 PRÊTS'!A:Q,17,0),""))</f>
        <v/>
      </c>
      <c r="K26" s="25" t="str">
        <f t="shared" si="0"/>
        <v>—</v>
      </c>
      <c r="L26" s="32"/>
    </row>
    <row r="27" spans="1:12" ht="19.5" customHeight="1" x14ac:dyDescent="0.3">
      <c r="A27" s="38" t="s">
        <v>234</v>
      </c>
      <c r="B27" s="36"/>
      <c r="C27" s="28" t="str">
        <f>IF(B27="","",IFERROR(VLOOKUP(B27,'🏦 PRÊTS'!A:B,2,0),"?"))</f>
        <v/>
      </c>
      <c r="D27" s="26" t="str">
        <f>IF(B27="","",IFERROR(VLOOKUP(B27,'🏦 PRÊTS'!A:C,3,0),"?"))</f>
        <v/>
      </c>
      <c r="E27" s="26" t="str">
        <f>IF(B27="","",IFERROR(VLOOKUP(B27,'🏦 PRÊTS'!A:D,4,0),"?"))</f>
        <v/>
      </c>
      <c r="F27" s="36"/>
      <c r="G27" s="36"/>
      <c r="H27" s="36"/>
      <c r="I27" s="36"/>
      <c r="J27" s="23" t="str">
        <f>IF(B27="","",IFERROR(VLOOKUP(B27,'🏦 PRÊTS'!A:Q,17,0),""))</f>
        <v/>
      </c>
      <c r="K27" s="28" t="str">
        <f t="shared" si="0"/>
        <v>—</v>
      </c>
      <c r="L27" s="36"/>
    </row>
    <row r="28" spans="1:12" ht="19.5" customHeight="1" x14ac:dyDescent="0.3">
      <c r="A28" s="38" t="s">
        <v>235</v>
      </c>
      <c r="B28" s="32"/>
      <c r="C28" s="25" t="str">
        <f>IF(B28="","",IFERROR(VLOOKUP(B28,'🏦 PRÊTS'!A:B,2,0),"?"))</f>
        <v/>
      </c>
      <c r="D28" s="18" t="str">
        <f>IF(B28="","",IFERROR(VLOOKUP(B28,'🏦 PRÊTS'!A:C,3,0),"?"))</f>
        <v/>
      </c>
      <c r="E28" s="18" t="str">
        <f>IF(B28="","",IFERROR(VLOOKUP(B28,'🏦 PRÊTS'!A:D,4,0),"?"))</f>
        <v/>
      </c>
      <c r="F28" s="32"/>
      <c r="G28" s="32"/>
      <c r="H28" s="32"/>
      <c r="I28" s="32"/>
      <c r="J28" s="23" t="str">
        <f>IF(B28="","",IFERROR(VLOOKUP(B28,'🏦 PRÊTS'!A:Q,17,0),""))</f>
        <v/>
      </c>
      <c r="K28" s="25" t="str">
        <f t="shared" si="0"/>
        <v>—</v>
      </c>
      <c r="L28" s="32"/>
    </row>
    <row r="29" spans="1:12" ht="19.5" customHeight="1" x14ac:dyDescent="0.3">
      <c r="A29" s="38" t="s">
        <v>236</v>
      </c>
      <c r="B29" s="36"/>
      <c r="C29" s="28" t="str">
        <f>IF(B29="","",IFERROR(VLOOKUP(B29,'🏦 PRÊTS'!A:B,2,0),"?"))</f>
        <v/>
      </c>
      <c r="D29" s="26" t="str">
        <f>IF(B29="","",IFERROR(VLOOKUP(B29,'🏦 PRÊTS'!A:C,3,0),"?"))</f>
        <v/>
      </c>
      <c r="E29" s="26" t="str">
        <f>IF(B29="","",IFERROR(VLOOKUP(B29,'🏦 PRÊTS'!A:D,4,0),"?"))</f>
        <v/>
      </c>
      <c r="F29" s="36"/>
      <c r="G29" s="36"/>
      <c r="H29" s="36"/>
      <c r="I29" s="36"/>
      <c r="J29" s="23" t="str">
        <f>IF(B29="","",IFERROR(VLOOKUP(B29,'🏦 PRÊTS'!A:Q,17,0),""))</f>
        <v/>
      </c>
      <c r="K29" s="28" t="str">
        <f t="shared" si="0"/>
        <v>—</v>
      </c>
      <c r="L29" s="36"/>
    </row>
    <row r="30" spans="1:12" ht="19.5" customHeight="1" x14ac:dyDescent="0.3">
      <c r="A30" s="38" t="s">
        <v>237</v>
      </c>
      <c r="B30" s="32"/>
      <c r="C30" s="25" t="str">
        <f>IF(B30="","",IFERROR(VLOOKUP(B30,'🏦 PRÊTS'!A:B,2,0),"?"))</f>
        <v/>
      </c>
      <c r="D30" s="18" t="str">
        <f>IF(B30="","",IFERROR(VLOOKUP(B30,'🏦 PRÊTS'!A:C,3,0),"?"))</f>
        <v/>
      </c>
      <c r="E30" s="18" t="str">
        <f>IF(B30="","",IFERROR(VLOOKUP(B30,'🏦 PRÊTS'!A:D,4,0),"?"))</f>
        <v/>
      </c>
      <c r="F30" s="32"/>
      <c r="G30" s="32"/>
      <c r="H30" s="32"/>
      <c r="I30" s="32"/>
      <c r="J30" s="23" t="str">
        <f>IF(B30="","",IFERROR(VLOOKUP(B30,'🏦 PRÊTS'!A:Q,17,0),""))</f>
        <v/>
      </c>
      <c r="K30" s="25" t="str">
        <f t="shared" si="0"/>
        <v>—</v>
      </c>
      <c r="L30" s="32"/>
    </row>
    <row r="31" spans="1:12" ht="19.5" customHeight="1" x14ac:dyDescent="0.3">
      <c r="A31" s="38" t="s">
        <v>238</v>
      </c>
      <c r="B31" s="36"/>
      <c r="C31" s="28" t="str">
        <f>IF(B31="","",IFERROR(VLOOKUP(B31,'🏦 PRÊTS'!A:B,2,0),"?"))</f>
        <v/>
      </c>
      <c r="D31" s="26" t="str">
        <f>IF(B31="","",IFERROR(VLOOKUP(B31,'🏦 PRÊTS'!A:C,3,0),"?"))</f>
        <v/>
      </c>
      <c r="E31" s="26" t="str">
        <f>IF(B31="","",IFERROR(VLOOKUP(B31,'🏦 PRÊTS'!A:D,4,0),"?"))</f>
        <v/>
      </c>
      <c r="F31" s="36"/>
      <c r="G31" s="36"/>
      <c r="H31" s="36"/>
      <c r="I31" s="36"/>
      <c r="J31" s="23" t="str">
        <f>IF(B31="","",IFERROR(VLOOKUP(B31,'🏦 PRÊTS'!A:Q,17,0),""))</f>
        <v/>
      </c>
      <c r="K31" s="28" t="str">
        <f t="shared" si="0"/>
        <v>—</v>
      </c>
      <c r="L31" s="36"/>
    </row>
    <row r="32" spans="1:12" ht="19.5" customHeight="1" x14ac:dyDescent="0.3">
      <c r="A32" s="38" t="s">
        <v>239</v>
      </c>
      <c r="B32" s="32"/>
      <c r="C32" s="25" t="str">
        <f>IF(B32="","",IFERROR(VLOOKUP(B32,'🏦 PRÊTS'!A:B,2,0),"?"))</f>
        <v/>
      </c>
      <c r="D32" s="18" t="str">
        <f>IF(B32="","",IFERROR(VLOOKUP(B32,'🏦 PRÊTS'!A:C,3,0),"?"))</f>
        <v/>
      </c>
      <c r="E32" s="18" t="str">
        <f>IF(B32="","",IFERROR(VLOOKUP(B32,'🏦 PRÊTS'!A:D,4,0),"?"))</f>
        <v/>
      </c>
      <c r="F32" s="32"/>
      <c r="G32" s="32"/>
      <c r="H32" s="32"/>
      <c r="I32" s="32"/>
      <c r="J32" s="23" t="str">
        <f>IF(B32="","",IFERROR(VLOOKUP(B32,'🏦 PRÊTS'!A:Q,17,0),""))</f>
        <v/>
      </c>
      <c r="K32" s="25" t="str">
        <f t="shared" si="0"/>
        <v>—</v>
      </c>
      <c r="L32" s="32"/>
    </row>
    <row r="33" spans="1:12" ht="19.5" customHeight="1" x14ac:dyDescent="0.3">
      <c r="A33" s="38" t="s">
        <v>240</v>
      </c>
      <c r="B33" s="36"/>
      <c r="C33" s="28" t="str">
        <f>IF(B33="","",IFERROR(VLOOKUP(B33,'🏦 PRÊTS'!A:B,2,0),"?"))</f>
        <v/>
      </c>
      <c r="D33" s="26" t="str">
        <f>IF(B33="","",IFERROR(VLOOKUP(B33,'🏦 PRÊTS'!A:C,3,0),"?"))</f>
        <v/>
      </c>
      <c r="E33" s="26" t="str">
        <f>IF(B33="","",IFERROR(VLOOKUP(B33,'🏦 PRÊTS'!A:D,4,0),"?"))</f>
        <v/>
      </c>
      <c r="F33" s="36"/>
      <c r="G33" s="36"/>
      <c r="H33" s="36"/>
      <c r="I33" s="36"/>
      <c r="J33" s="23" t="str">
        <f>IF(B33="","",IFERROR(VLOOKUP(B33,'🏦 PRÊTS'!A:Q,17,0),""))</f>
        <v/>
      </c>
      <c r="K33" s="28" t="str">
        <f t="shared" si="0"/>
        <v>—</v>
      </c>
      <c r="L33" s="36"/>
    </row>
    <row r="34" spans="1:12" ht="19.5" customHeight="1" x14ac:dyDescent="0.3">
      <c r="A34" s="38" t="s">
        <v>241</v>
      </c>
      <c r="B34" s="32"/>
      <c r="C34" s="25" t="str">
        <f>IF(B34="","",IFERROR(VLOOKUP(B34,'🏦 PRÊTS'!A:B,2,0),"?"))</f>
        <v/>
      </c>
      <c r="D34" s="18" t="str">
        <f>IF(B34="","",IFERROR(VLOOKUP(B34,'🏦 PRÊTS'!A:C,3,0),"?"))</f>
        <v/>
      </c>
      <c r="E34" s="18" t="str">
        <f>IF(B34="","",IFERROR(VLOOKUP(B34,'🏦 PRÊTS'!A:D,4,0),"?"))</f>
        <v/>
      </c>
      <c r="F34" s="32"/>
      <c r="G34" s="32"/>
      <c r="H34" s="32"/>
      <c r="I34" s="32"/>
      <c r="J34" s="23" t="str">
        <f>IF(B34="","",IFERROR(VLOOKUP(B34,'🏦 PRÊTS'!A:Q,17,0),""))</f>
        <v/>
      </c>
      <c r="K34" s="25" t="str">
        <f t="shared" si="0"/>
        <v>—</v>
      </c>
      <c r="L34" s="32"/>
    </row>
    <row r="35" spans="1:12" ht="19.5" customHeight="1" x14ac:dyDescent="0.3">
      <c r="A35" s="38" t="s">
        <v>242</v>
      </c>
      <c r="B35" s="36"/>
      <c r="C35" s="28" t="str">
        <f>IF(B35="","",IFERROR(VLOOKUP(B35,'🏦 PRÊTS'!A:B,2,0),"?"))</f>
        <v/>
      </c>
      <c r="D35" s="26" t="str">
        <f>IF(B35="","",IFERROR(VLOOKUP(B35,'🏦 PRÊTS'!A:C,3,0),"?"))</f>
        <v/>
      </c>
      <c r="E35" s="26" t="str">
        <f>IF(B35="","",IFERROR(VLOOKUP(B35,'🏦 PRÊTS'!A:D,4,0),"?"))</f>
        <v/>
      </c>
      <c r="F35" s="36"/>
      <c r="G35" s="36"/>
      <c r="H35" s="36"/>
      <c r="I35" s="36"/>
      <c r="J35" s="23" t="str">
        <f>IF(B35="","",IFERROR(VLOOKUP(B35,'🏦 PRÊTS'!A:Q,17,0),""))</f>
        <v/>
      </c>
      <c r="K35" s="28" t="str">
        <f t="shared" si="0"/>
        <v>—</v>
      </c>
      <c r="L35" s="36"/>
    </row>
    <row r="36" spans="1:12" ht="19.5" customHeight="1" x14ac:dyDescent="0.3">
      <c r="A36" s="38" t="s">
        <v>243</v>
      </c>
      <c r="B36" s="32"/>
      <c r="C36" s="25" t="str">
        <f>IF(B36="","",IFERROR(VLOOKUP(B36,'🏦 PRÊTS'!A:B,2,0),"?"))</f>
        <v/>
      </c>
      <c r="D36" s="18" t="str">
        <f>IF(B36="","",IFERROR(VLOOKUP(B36,'🏦 PRÊTS'!A:C,3,0),"?"))</f>
        <v/>
      </c>
      <c r="E36" s="18" t="str">
        <f>IF(B36="","",IFERROR(VLOOKUP(B36,'🏦 PRÊTS'!A:D,4,0),"?"))</f>
        <v/>
      </c>
      <c r="F36" s="32"/>
      <c r="G36" s="32"/>
      <c r="H36" s="32"/>
      <c r="I36" s="32"/>
      <c r="J36" s="23" t="str">
        <f>IF(B36="","",IFERROR(VLOOKUP(B36,'🏦 PRÊTS'!A:Q,17,0),""))</f>
        <v/>
      </c>
      <c r="K36" s="25" t="str">
        <f t="shared" ref="K36:K67" si="1">IF(J36="","—",IF(J36=0,"✅ Soldé","🔄 Partiel"))</f>
        <v>—</v>
      </c>
      <c r="L36" s="32"/>
    </row>
    <row r="37" spans="1:12" ht="19.5" customHeight="1" x14ac:dyDescent="0.3">
      <c r="A37" s="38" t="s">
        <v>244</v>
      </c>
      <c r="B37" s="36"/>
      <c r="C37" s="28" t="str">
        <f>IF(B37="","",IFERROR(VLOOKUP(B37,'🏦 PRÊTS'!A:B,2,0),"?"))</f>
        <v/>
      </c>
      <c r="D37" s="26" t="str">
        <f>IF(B37="","",IFERROR(VLOOKUP(B37,'🏦 PRÊTS'!A:C,3,0),"?"))</f>
        <v/>
      </c>
      <c r="E37" s="26" t="str">
        <f>IF(B37="","",IFERROR(VLOOKUP(B37,'🏦 PRÊTS'!A:D,4,0),"?"))</f>
        <v/>
      </c>
      <c r="F37" s="36"/>
      <c r="G37" s="36"/>
      <c r="H37" s="36"/>
      <c r="I37" s="36"/>
      <c r="J37" s="23" t="str">
        <f>IF(B37="","",IFERROR(VLOOKUP(B37,'🏦 PRÊTS'!A:Q,17,0),""))</f>
        <v/>
      </c>
      <c r="K37" s="28" t="str">
        <f t="shared" si="1"/>
        <v>—</v>
      </c>
      <c r="L37" s="36"/>
    </row>
    <row r="38" spans="1:12" ht="19.5" customHeight="1" x14ac:dyDescent="0.3">
      <c r="A38" s="38" t="s">
        <v>245</v>
      </c>
      <c r="B38" s="32"/>
      <c r="C38" s="25" t="str">
        <f>IF(B38="","",IFERROR(VLOOKUP(B38,'🏦 PRÊTS'!A:B,2,0),"?"))</f>
        <v/>
      </c>
      <c r="D38" s="18" t="str">
        <f>IF(B38="","",IFERROR(VLOOKUP(B38,'🏦 PRÊTS'!A:C,3,0),"?"))</f>
        <v/>
      </c>
      <c r="E38" s="18" t="str">
        <f>IF(B38="","",IFERROR(VLOOKUP(B38,'🏦 PRÊTS'!A:D,4,0),"?"))</f>
        <v/>
      </c>
      <c r="F38" s="32"/>
      <c r="G38" s="32"/>
      <c r="H38" s="32"/>
      <c r="I38" s="32"/>
      <c r="J38" s="23" t="str">
        <f>IF(B38="","",IFERROR(VLOOKUP(B38,'🏦 PRÊTS'!A:Q,17,0),""))</f>
        <v/>
      </c>
      <c r="K38" s="25" t="str">
        <f t="shared" si="1"/>
        <v>—</v>
      </c>
      <c r="L38" s="32"/>
    </row>
    <row r="39" spans="1:12" ht="19.5" customHeight="1" x14ac:dyDescent="0.3">
      <c r="A39" s="38" t="s">
        <v>246</v>
      </c>
      <c r="B39" s="36"/>
      <c r="C39" s="28" t="str">
        <f>IF(B39="","",IFERROR(VLOOKUP(B39,'🏦 PRÊTS'!A:B,2,0),"?"))</f>
        <v/>
      </c>
      <c r="D39" s="26" t="str">
        <f>IF(B39="","",IFERROR(VLOOKUP(B39,'🏦 PRÊTS'!A:C,3,0),"?"))</f>
        <v/>
      </c>
      <c r="E39" s="26" t="str">
        <f>IF(B39="","",IFERROR(VLOOKUP(B39,'🏦 PRÊTS'!A:D,4,0),"?"))</f>
        <v/>
      </c>
      <c r="F39" s="36"/>
      <c r="G39" s="36"/>
      <c r="H39" s="36"/>
      <c r="I39" s="36"/>
      <c r="J39" s="23" t="str">
        <f>IF(B39="","",IFERROR(VLOOKUP(B39,'🏦 PRÊTS'!A:Q,17,0),""))</f>
        <v/>
      </c>
      <c r="K39" s="28" t="str">
        <f t="shared" si="1"/>
        <v>—</v>
      </c>
      <c r="L39" s="36"/>
    </row>
    <row r="40" spans="1:12" ht="19.5" customHeight="1" x14ac:dyDescent="0.3">
      <c r="A40" s="38" t="s">
        <v>247</v>
      </c>
      <c r="B40" s="32"/>
      <c r="C40" s="25" t="str">
        <f>IF(B40="","",IFERROR(VLOOKUP(B40,'🏦 PRÊTS'!A:B,2,0),"?"))</f>
        <v/>
      </c>
      <c r="D40" s="18" t="str">
        <f>IF(B40="","",IFERROR(VLOOKUP(B40,'🏦 PRÊTS'!A:C,3,0),"?"))</f>
        <v/>
      </c>
      <c r="E40" s="18" t="str">
        <f>IF(B40="","",IFERROR(VLOOKUP(B40,'🏦 PRÊTS'!A:D,4,0),"?"))</f>
        <v/>
      </c>
      <c r="F40" s="32"/>
      <c r="G40" s="32"/>
      <c r="H40" s="32"/>
      <c r="I40" s="32"/>
      <c r="J40" s="23" t="str">
        <f>IF(B40="","",IFERROR(VLOOKUP(B40,'🏦 PRÊTS'!A:Q,17,0),""))</f>
        <v/>
      </c>
      <c r="K40" s="25" t="str">
        <f t="shared" si="1"/>
        <v>—</v>
      </c>
      <c r="L40" s="32"/>
    </row>
    <row r="41" spans="1:12" ht="19.5" customHeight="1" x14ac:dyDescent="0.3">
      <c r="A41" s="38" t="s">
        <v>248</v>
      </c>
      <c r="B41" s="36"/>
      <c r="C41" s="28" t="str">
        <f>IF(B41="","",IFERROR(VLOOKUP(B41,'🏦 PRÊTS'!A:B,2,0),"?"))</f>
        <v/>
      </c>
      <c r="D41" s="26" t="str">
        <f>IF(B41="","",IFERROR(VLOOKUP(B41,'🏦 PRÊTS'!A:C,3,0),"?"))</f>
        <v/>
      </c>
      <c r="E41" s="26" t="str">
        <f>IF(B41="","",IFERROR(VLOOKUP(B41,'🏦 PRÊTS'!A:D,4,0),"?"))</f>
        <v/>
      </c>
      <c r="F41" s="36"/>
      <c r="G41" s="36"/>
      <c r="H41" s="36"/>
      <c r="I41" s="36"/>
      <c r="J41" s="23" t="str">
        <f>IF(B41="","",IFERROR(VLOOKUP(B41,'🏦 PRÊTS'!A:Q,17,0),""))</f>
        <v/>
      </c>
      <c r="K41" s="28" t="str">
        <f t="shared" si="1"/>
        <v>—</v>
      </c>
      <c r="L41" s="36"/>
    </row>
    <row r="42" spans="1:12" ht="19.5" customHeight="1" x14ac:dyDescent="0.3">
      <c r="A42" s="38" t="s">
        <v>249</v>
      </c>
      <c r="B42" s="32"/>
      <c r="C42" s="25" t="str">
        <f>IF(B42="","",IFERROR(VLOOKUP(B42,'🏦 PRÊTS'!A:B,2,0),"?"))</f>
        <v/>
      </c>
      <c r="D42" s="18" t="str">
        <f>IF(B42="","",IFERROR(VLOOKUP(B42,'🏦 PRÊTS'!A:C,3,0),"?"))</f>
        <v/>
      </c>
      <c r="E42" s="18" t="str">
        <f>IF(B42="","",IFERROR(VLOOKUP(B42,'🏦 PRÊTS'!A:D,4,0),"?"))</f>
        <v/>
      </c>
      <c r="F42" s="32"/>
      <c r="G42" s="32"/>
      <c r="H42" s="32"/>
      <c r="I42" s="32"/>
      <c r="J42" s="23" t="str">
        <f>IF(B42="","",IFERROR(VLOOKUP(B42,'🏦 PRÊTS'!A:Q,17,0),""))</f>
        <v/>
      </c>
      <c r="K42" s="25" t="str">
        <f t="shared" si="1"/>
        <v>—</v>
      </c>
      <c r="L42" s="32"/>
    </row>
    <row r="43" spans="1:12" ht="19.5" customHeight="1" x14ac:dyDescent="0.3">
      <c r="A43" s="38" t="s">
        <v>250</v>
      </c>
      <c r="B43" s="36"/>
      <c r="C43" s="28" t="str">
        <f>IF(B43="","",IFERROR(VLOOKUP(B43,'🏦 PRÊTS'!A:B,2,0),"?"))</f>
        <v/>
      </c>
      <c r="D43" s="26" t="str">
        <f>IF(B43="","",IFERROR(VLOOKUP(B43,'🏦 PRÊTS'!A:C,3,0),"?"))</f>
        <v/>
      </c>
      <c r="E43" s="26" t="str">
        <f>IF(B43="","",IFERROR(VLOOKUP(B43,'🏦 PRÊTS'!A:D,4,0),"?"))</f>
        <v/>
      </c>
      <c r="F43" s="36"/>
      <c r="G43" s="36"/>
      <c r="H43" s="36"/>
      <c r="I43" s="36"/>
      <c r="J43" s="23" t="str">
        <f>IF(B43="","",IFERROR(VLOOKUP(B43,'🏦 PRÊTS'!A:Q,17,0),""))</f>
        <v/>
      </c>
      <c r="K43" s="28" t="str">
        <f t="shared" si="1"/>
        <v>—</v>
      </c>
      <c r="L43" s="36"/>
    </row>
    <row r="44" spans="1:12" ht="19.5" customHeight="1" x14ac:dyDescent="0.3">
      <c r="A44" s="38" t="s">
        <v>251</v>
      </c>
      <c r="B44" s="32"/>
      <c r="C44" s="25" t="str">
        <f>IF(B44="","",IFERROR(VLOOKUP(B44,'🏦 PRÊTS'!A:B,2,0),"?"))</f>
        <v/>
      </c>
      <c r="D44" s="18" t="str">
        <f>IF(B44="","",IFERROR(VLOOKUP(B44,'🏦 PRÊTS'!A:C,3,0),"?"))</f>
        <v/>
      </c>
      <c r="E44" s="18" t="str">
        <f>IF(B44="","",IFERROR(VLOOKUP(B44,'🏦 PRÊTS'!A:D,4,0),"?"))</f>
        <v/>
      </c>
      <c r="F44" s="32"/>
      <c r="G44" s="32"/>
      <c r="H44" s="32"/>
      <c r="I44" s="32"/>
      <c r="J44" s="23" t="str">
        <f>IF(B44="","",IFERROR(VLOOKUP(B44,'🏦 PRÊTS'!A:Q,17,0),""))</f>
        <v/>
      </c>
      <c r="K44" s="25" t="str">
        <f t="shared" si="1"/>
        <v>—</v>
      </c>
      <c r="L44" s="32"/>
    </row>
    <row r="45" spans="1:12" ht="19.5" customHeight="1" x14ac:dyDescent="0.3">
      <c r="A45" s="38" t="s">
        <v>252</v>
      </c>
      <c r="B45" s="36"/>
      <c r="C45" s="28" t="str">
        <f>IF(B45="","",IFERROR(VLOOKUP(B45,'🏦 PRÊTS'!A:B,2,0),"?"))</f>
        <v/>
      </c>
      <c r="D45" s="26" t="str">
        <f>IF(B45="","",IFERROR(VLOOKUP(B45,'🏦 PRÊTS'!A:C,3,0),"?"))</f>
        <v/>
      </c>
      <c r="E45" s="26" t="str">
        <f>IF(B45="","",IFERROR(VLOOKUP(B45,'🏦 PRÊTS'!A:D,4,0),"?"))</f>
        <v/>
      </c>
      <c r="F45" s="36"/>
      <c r="G45" s="36"/>
      <c r="H45" s="36"/>
      <c r="I45" s="36"/>
      <c r="J45" s="23" t="str">
        <f>IF(B45="","",IFERROR(VLOOKUP(B45,'🏦 PRÊTS'!A:Q,17,0),""))</f>
        <v/>
      </c>
      <c r="K45" s="28" t="str">
        <f t="shared" si="1"/>
        <v>—</v>
      </c>
      <c r="L45" s="36"/>
    </row>
    <row r="46" spans="1:12" ht="19.5" customHeight="1" x14ac:dyDescent="0.3">
      <c r="A46" s="38" t="s">
        <v>253</v>
      </c>
      <c r="B46" s="32"/>
      <c r="C46" s="25" t="str">
        <f>IF(B46="","",IFERROR(VLOOKUP(B46,'🏦 PRÊTS'!A:B,2,0),"?"))</f>
        <v/>
      </c>
      <c r="D46" s="18" t="str">
        <f>IF(B46="","",IFERROR(VLOOKUP(B46,'🏦 PRÊTS'!A:C,3,0),"?"))</f>
        <v/>
      </c>
      <c r="E46" s="18" t="str">
        <f>IF(B46="","",IFERROR(VLOOKUP(B46,'🏦 PRÊTS'!A:D,4,0),"?"))</f>
        <v/>
      </c>
      <c r="F46" s="32"/>
      <c r="G46" s="32"/>
      <c r="H46" s="32"/>
      <c r="I46" s="32"/>
      <c r="J46" s="23" t="str">
        <f>IF(B46="","",IFERROR(VLOOKUP(B46,'🏦 PRÊTS'!A:Q,17,0),""))</f>
        <v/>
      </c>
      <c r="K46" s="25" t="str">
        <f t="shared" si="1"/>
        <v>—</v>
      </c>
      <c r="L46" s="32"/>
    </row>
    <row r="47" spans="1:12" ht="19.5" customHeight="1" x14ac:dyDescent="0.3">
      <c r="A47" s="38" t="s">
        <v>254</v>
      </c>
      <c r="B47" s="36"/>
      <c r="C47" s="28" t="str">
        <f>IF(B47="","",IFERROR(VLOOKUP(B47,'🏦 PRÊTS'!A:B,2,0),"?"))</f>
        <v/>
      </c>
      <c r="D47" s="26" t="str">
        <f>IF(B47="","",IFERROR(VLOOKUP(B47,'🏦 PRÊTS'!A:C,3,0),"?"))</f>
        <v/>
      </c>
      <c r="E47" s="26" t="str">
        <f>IF(B47="","",IFERROR(VLOOKUP(B47,'🏦 PRÊTS'!A:D,4,0),"?"))</f>
        <v/>
      </c>
      <c r="F47" s="36"/>
      <c r="G47" s="36"/>
      <c r="H47" s="36"/>
      <c r="I47" s="36"/>
      <c r="J47" s="23" t="str">
        <f>IF(B47="","",IFERROR(VLOOKUP(B47,'🏦 PRÊTS'!A:Q,17,0),""))</f>
        <v/>
      </c>
      <c r="K47" s="28" t="str">
        <f t="shared" si="1"/>
        <v>—</v>
      </c>
      <c r="L47" s="36"/>
    </row>
    <row r="48" spans="1:12" ht="19.5" customHeight="1" x14ac:dyDescent="0.3">
      <c r="A48" s="38" t="s">
        <v>255</v>
      </c>
      <c r="B48" s="32"/>
      <c r="C48" s="25" t="str">
        <f>IF(B48="","",IFERROR(VLOOKUP(B48,'🏦 PRÊTS'!A:B,2,0),"?"))</f>
        <v/>
      </c>
      <c r="D48" s="18" t="str">
        <f>IF(B48="","",IFERROR(VLOOKUP(B48,'🏦 PRÊTS'!A:C,3,0),"?"))</f>
        <v/>
      </c>
      <c r="E48" s="18" t="str">
        <f>IF(B48="","",IFERROR(VLOOKUP(B48,'🏦 PRÊTS'!A:D,4,0),"?"))</f>
        <v/>
      </c>
      <c r="F48" s="32"/>
      <c r="G48" s="32"/>
      <c r="H48" s="32"/>
      <c r="I48" s="32"/>
      <c r="J48" s="23" t="str">
        <f>IF(B48="","",IFERROR(VLOOKUP(B48,'🏦 PRÊTS'!A:Q,17,0),""))</f>
        <v/>
      </c>
      <c r="K48" s="25" t="str">
        <f t="shared" si="1"/>
        <v>—</v>
      </c>
      <c r="L48" s="32"/>
    </row>
    <row r="49" spans="1:12" ht="19.5" customHeight="1" x14ac:dyDescent="0.3">
      <c r="A49" s="38" t="s">
        <v>256</v>
      </c>
      <c r="B49" s="36"/>
      <c r="C49" s="28" t="str">
        <f>IF(B49="","",IFERROR(VLOOKUP(B49,'🏦 PRÊTS'!A:B,2,0),"?"))</f>
        <v/>
      </c>
      <c r="D49" s="26" t="str">
        <f>IF(B49="","",IFERROR(VLOOKUP(B49,'🏦 PRÊTS'!A:C,3,0),"?"))</f>
        <v/>
      </c>
      <c r="E49" s="26" t="str">
        <f>IF(B49="","",IFERROR(VLOOKUP(B49,'🏦 PRÊTS'!A:D,4,0),"?"))</f>
        <v/>
      </c>
      <c r="F49" s="36"/>
      <c r="G49" s="36"/>
      <c r="H49" s="36"/>
      <c r="I49" s="36"/>
      <c r="J49" s="23" t="str">
        <f>IF(B49="","",IFERROR(VLOOKUP(B49,'🏦 PRÊTS'!A:Q,17,0),""))</f>
        <v/>
      </c>
      <c r="K49" s="28" t="str">
        <f t="shared" si="1"/>
        <v>—</v>
      </c>
      <c r="L49" s="36"/>
    </row>
    <row r="50" spans="1:12" ht="19.5" customHeight="1" x14ac:dyDescent="0.3">
      <c r="A50" s="38" t="s">
        <v>257</v>
      </c>
      <c r="B50" s="32"/>
      <c r="C50" s="25" t="str">
        <f>IF(B50="","",IFERROR(VLOOKUP(B50,'🏦 PRÊTS'!A:B,2,0),"?"))</f>
        <v/>
      </c>
      <c r="D50" s="18" t="str">
        <f>IF(B50="","",IFERROR(VLOOKUP(B50,'🏦 PRÊTS'!A:C,3,0),"?"))</f>
        <v/>
      </c>
      <c r="E50" s="18" t="str">
        <f>IF(B50="","",IFERROR(VLOOKUP(B50,'🏦 PRÊTS'!A:D,4,0),"?"))</f>
        <v/>
      </c>
      <c r="F50" s="32"/>
      <c r="G50" s="32"/>
      <c r="H50" s="32"/>
      <c r="I50" s="32"/>
      <c r="J50" s="23" t="str">
        <f>IF(B50="","",IFERROR(VLOOKUP(B50,'🏦 PRÊTS'!A:Q,17,0),""))</f>
        <v/>
      </c>
      <c r="K50" s="25" t="str">
        <f t="shared" si="1"/>
        <v>—</v>
      </c>
      <c r="L50" s="32"/>
    </row>
    <row r="51" spans="1:12" ht="19.5" customHeight="1" x14ac:dyDescent="0.3">
      <c r="A51" s="38" t="s">
        <v>258</v>
      </c>
      <c r="B51" s="36"/>
      <c r="C51" s="28" t="str">
        <f>IF(B51="","",IFERROR(VLOOKUP(B51,'🏦 PRÊTS'!A:B,2,0),"?"))</f>
        <v/>
      </c>
      <c r="D51" s="26" t="str">
        <f>IF(B51="","",IFERROR(VLOOKUP(B51,'🏦 PRÊTS'!A:C,3,0),"?"))</f>
        <v/>
      </c>
      <c r="E51" s="26" t="str">
        <f>IF(B51="","",IFERROR(VLOOKUP(B51,'🏦 PRÊTS'!A:D,4,0),"?"))</f>
        <v/>
      </c>
      <c r="F51" s="36"/>
      <c r="G51" s="36"/>
      <c r="H51" s="36"/>
      <c r="I51" s="36"/>
      <c r="J51" s="23" t="str">
        <f>IF(B51="","",IFERROR(VLOOKUP(B51,'🏦 PRÊTS'!A:Q,17,0),""))</f>
        <v/>
      </c>
      <c r="K51" s="28" t="str">
        <f t="shared" si="1"/>
        <v>—</v>
      </c>
      <c r="L51" s="36"/>
    </row>
    <row r="52" spans="1:12" ht="19.5" customHeight="1" x14ac:dyDescent="0.3">
      <c r="A52" s="38" t="s">
        <v>259</v>
      </c>
      <c r="B52" s="32"/>
      <c r="C52" s="25" t="str">
        <f>IF(B52="","",IFERROR(VLOOKUP(B52,'🏦 PRÊTS'!A:B,2,0),"?"))</f>
        <v/>
      </c>
      <c r="D52" s="18" t="str">
        <f>IF(B52="","",IFERROR(VLOOKUP(B52,'🏦 PRÊTS'!A:C,3,0),"?"))</f>
        <v/>
      </c>
      <c r="E52" s="18" t="str">
        <f>IF(B52="","",IFERROR(VLOOKUP(B52,'🏦 PRÊTS'!A:D,4,0),"?"))</f>
        <v/>
      </c>
      <c r="F52" s="32"/>
      <c r="G52" s="32"/>
      <c r="H52" s="32"/>
      <c r="I52" s="32"/>
      <c r="J52" s="23" t="str">
        <f>IF(B52="","",IFERROR(VLOOKUP(B52,'🏦 PRÊTS'!A:Q,17,0),""))</f>
        <v/>
      </c>
      <c r="K52" s="25" t="str">
        <f t="shared" si="1"/>
        <v>—</v>
      </c>
      <c r="L52" s="32"/>
    </row>
    <row r="53" spans="1:12" ht="19.5" customHeight="1" x14ac:dyDescent="0.3">
      <c r="A53" s="38" t="s">
        <v>260</v>
      </c>
      <c r="B53" s="36"/>
      <c r="C53" s="28" t="str">
        <f>IF(B53="","",IFERROR(VLOOKUP(B53,'🏦 PRÊTS'!A:B,2,0),"?"))</f>
        <v/>
      </c>
      <c r="D53" s="26" t="str">
        <f>IF(B53="","",IFERROR(VLOOKUP(B53,'🏦 PRÊTS'!A:C,3,0),"?"))</f>
        <v/>
      </c>
      <c r="E53" s="26" t="str">
        <f>IF(B53="","",IFERROR(VLOOKUP(B53,'🏦 PRÊTS'!A:D,4,0),"?"))</f>
        <v/>
      </c>
      <c r="F53" s="36"/>
      <c r="G53" s="36"/>
      <c r="H53" s="36"/>
      <c r="I53" s="36"/>
      <c r="J53" s="23" t="str">
        <f>IF(B53="","",IFERROR(VLOOKUP(B53,'🏦 PRÊTS'!A:Q,17,0),""))</f>
        <v/>
      </c>
      <c r="K53" s="28" t="str">
        <f t="shared" si="1"/>
        <v>—</v>
      </c>
      <c r="L53" s="36"/>
    </row>
    <row r="54" spans="1:12" ht="19.5" customHeight="1" x14ac:dyDescent="0.3">
      <c r="A54" s="38" t="s">
        <v>261</v>
      </c>
      <c r="B54" s="32"/>
      <c r="C54" s="25" t="str">
        <f>IF(B54="","",IFERROR(VLOOKUP(B54,'🏦 PRÊTS'!A:B,2,0),"?"))</f>
        <v/>
      </c>
      <c r="D54" s="18" t="str">
        <f>IF(B54="","",IFERROR(VLOOKUP(B54,'🏦 PRÊTS'!A:C,3,0),"?"))</f>
        <v/>
      </c>
      <c r="E54" s="18" t="str">
        <f>IF(B54="","",IFERROR(VLOOKUP(B54,'🏦 PRÊTS'!A:D,4,0),"?"))</f>
        <v/>
      </c>
      <c r="F54" s="32"/>
      <c r="G54" s="32"/>
      <c r="H54" s="32"/>
      <c r="I54" s="32"/>
      <c r="J54" s="23" t="str">
        <f>IF(B54="","",IFERROR(VLOOKUP(B54,'🏦 PRÊTS'!A:Q,17,0),""))</f>
        <v/>
      </c>
      <c r="K54" s="25" t="str">
        <f t="shared" si="1"/>
        <v>—</v>
      </c>
      <c r="L54" s="32"/>
    </row>
    <row r="55" spans="1:12" ht="19.5" customHeight="1" x14ac:dyDescent="0.3">
      <c r="A55" s="38" t="s">
        <v>262</v>
      </c>
      <c r="B55" s="36"/>
      <c r="C55" s="28" t="str">
        <f>IF(B55="","",IFERROR(VLOOKUP(B55,'🏦 PRÊTS'!A:B,2,0),"?"))</f>
        <v/>
      </c>
      <c r="D55" s="26" t="str">
        <f>IF(B55="","",IFERROR(VLOOKUP(B55,'🏦 PRÊTS'!A:C,3,0),"?"))</f>
        <v/>
      </c>
      <c r="E55" s="26" t="str">
        <f>IF(B55="","",IFERROR(VLOOKUP(B55,'🏦 PRÊTS'!A:D,4,0),"?"))</f>
        <v/>
      </c>
      <c r="F55" s="36"/>
      <c r="G55" s="36"/>
      <c r="H55" s="36"/>
      <c r="I55" s="36"/>
      <c r="J55" s="23" t="str">
        <f>IF(B55="","",IFERROR(VLOOKUP(B55,'🏦 PRÊTS'!A:Q,17,0),""))</f>
        <v/>
      </c>
      <c r="K55" s="28" t="str">
        <f t="shared" si="1"/>
        <v>—</v>
      </c>
      <c r="L55" s="36"/>
    </row>
    <row r="56" spans="1:12" ht="19.5" customHeight="1" x14ac:dyDescent="0.3">
      <c r="A56" s="38" t="s">
        <v>263</v>
      </c>
      <c r="B56" s="32"/>
      <c r="C56" s="25" t="str">
        <f>IF(B56="","",IFERROR(VLOOKUP(B56,'🏦 PRÊTS'!A:B,2,0),"?"))</f>
        <v/>
      </c>
      <c r="D56" s="18" t="str">
        <f>IF(B56="","",IFERROR(VLOOKUP(B56,'🏦 PRÊTS'!A:C,3,0),"?"))</f>
        <v/>
      </c>
      <c r="E56" s="18" t="str">
        <f>IF(B56="","",IFERROR(VLOOKUP(B56,'🏦 PRÊTS'!A:D,4,0),"?"))</f>
        <v/>
      </c>
      <c r="F56" s="32"/>
      <c r="G56" s="32"/>
      <c r="H56" s="32"/>
      <c r="I56" s="32"/>
      <c r="J56" s="23" t="str">
        <f>IF(B56="","",IFERROR(VLOOKUP(B56,'🏦 PRÊTS'!A:Q,17,0),""))</f>
        <v/>
      </c>
      <c r="K56" s="25" t="str">
        <f t="shared" si="1"/>
        <v>—</v>
      </c>
      <c r="L56" s="32"/>
    </row>
    <row r="57" spans="1:12" ht="19.5" customHeight="1" x14ac:dyDescent="0.3">
      <c r="A57" s="38" t="s">
        <v>264</v>
      </c>
      <c r="B57" s="36"/>
      <c r="C57" s="28" t="str">
        <f>IF(B57="","",IFERROR(VLOOKUP(B57,'🏦 PRÊTS'!A:B,2,0),"?"))</f>
        <v/>
      </c>
      <c r="D57" s="26" t="str">
        <f>IF(B57="","",IFERROR(VLOOKUP(B57,'🏦 PRÊTS'!A:C,3,0),"?"))</f>
        <v/>
      </c>
      <c r="E57" s="26" t="str">
        <f>IF(B57="","",IFERROR(VLOOKUP(B57,'🏦 PRÊTS'!A:D,4,0),"?"))</f>
        <v/>
      </c>
      <c r="F57" s="36"/>
      <c r="G57" s="36"/>
      <c r="H57" s="36"/>
      <c r="I57" s="36"/>
      <c r="J57" s="23" t="str">
        <f>IF(B57="","",IFERROR(VLOOKUP(B57,'🏦 PRÊTS'!A:Q,17,0),""))</f>
        <v/>
      </c>
      <c r="K57" s="28" t="str">
        <f t="shared" si="1"/>
        <v>—</v>
      </c>
      <c r="L57" s="36"/>
    </row>
    <row r="58" spans="1:12" ht="19.5" customHeight="1" x14ac:dyDescent="0.3">
      <c r="A58" s="38" t="s">
        <v>265</v>
      </c>
      <c r="B58" s="32"/>
      <c r="C58" s="25" t="str">
        <f>IF(B58="","",IFERROR(VLOOKUP(B58,'🏦 PRÊTS'!A:B,2,0),"?"))</f>
        <v/>
      </c>
      <c r="D58" s="18" t="str">
        <f>IF(B58="","",IFERROR(VLOOKUP(B58,'🏦 PRÊTS'!A:C,3,0),"?"))</f>
        <v/>
      </c>
      <c r="E58" s="18" t="str">
        <f>IF(B58="","",IFERROR(VLOOKUP(B58,'🏦 PRÊTS'!A:D,4,0),"?"))</f>
        <v/>
      </c>
      <c r="F58" s="32"/>
      <c r="G58" s="32"/>
      <c r="H58" s="32"/>
      <c r="I58" s="32"/>
      <c r="J58" s="23" t="str">
        <f>IF(B58="","",IFERROR(VLOOKUP(B58,'🏦 PRÊTS'!A:Q,17,0),""))</f>
        <v/>
      </c>
      <c r="K58" s="25" t="str">
        <f t="shared" si="1"/>
        <v>—</v>
      </c>
      <c r="L58" s="32"/>
    </row>
    <row r="59" spans="1:12" ht="19.5" customHeight="1" x14ac:dyDescent="0.3">
      <c r="A59" s="38" t="s">
        <v>266</v>
      </c>
      <c r="B59" s="36"/>
      <c r="C59" s="28" t="str">
        <f>IF(B59="","",IFERROR(VLOOKUP(B59,'🏦 PRÊTS'!A:B,2,0),"?"))</f>
        <v/>
      </c>
      <c r="D59" s="26" t="str">
        <f>IF(B59="","",IFERROR(VLOOKUP(B59,'🏦 PRÊTS'!A:C,3,0),"?"))</f>
        <v/>
      </c>
      <c r="E59" s="26" t="str">
        <f>IF(B59="","",IFERROR(VLOOKUP(B59,'🏦 PRÊTS'!A:D,4,0),"?"))</f>
        <v/>
      </c>
      <c r="F59" s="36"/>
      <c r="G59" s="36"/>
      <c r="H59" s="36"/>
      <c r="I59" s="36"/>
      <c r="J59" s="23" t="str">
        <f>IF(B59="","",IFERROR(VLOOKUP(B59,'🏦 PRÊTS'!A:Q,17,0),""))</f>
        <v/>
      </c>
      <c r="K59" s="28" t="str">
        <f t="shared" si="1"/>
        <v>—</v>
      </c>
      <c r="L59" s="36"/>
    </row>
    <row r="60" spans="1:12" ht="19.5" customHeight="1" x14ac:dyDescent="0.3">
      <c r="A60" s="38" t="s">
        <v>267</v>
      </c>
      <c r="B60" s="32"/>
      <c r="C60" s="25" t="str">
        <f>IF(B60="","",IFERROR(VLOOKUP(B60,'🏦 PRÊTS'!A:B,2,0),"?"))</f>
        <v/>
      </c>
      <c r="D60" s="18" t="str">
        <f>IF(B60="","",IFERROR(VLOOKUP(B60,'🏦 PRÊTS'!A:C,3,0),"?"))</f>
        <v/>
      </c>
      <c r="E60" s="18" t="str">
        <f>IF(B60="","",IFERROR(VLOOKUP(B60,'🏦 PRÊTS'!A:D,4,0),"?"))</f>
        <v/>
      </c>
      <c r="F60" s="32"/>
      <c r="G60" s="32"/>
      <c r="H60" s="32"/>
      <c r="I60" s="32"/>
      <c r="J60" s="23" t="str">
        <f>IF(B60="","",IFERROR(VLOOKUP(B60,'🏦 PRÊTS'!A:Q,17,0),""))</f>
        <v/>
      </c>
      <c r="K60" s="25" t="str">
        <f t="shared" si="1"/>
        <v>—</v>
      </c>
      <c r="L60" s="32"/>
    </row>
    <row r="61" spans="1:12" ht="19.5" customHeight="1" x14ac:dyDescent="0.3">
      <c r="A61" s="38" t="s">
        <v>268</v>
      </c>
      <c r="B61" s="36"/>
      <c r="C61" s="28" t="str">
        <f>IF(B61="","",IFERROR(VLOOKUP(B61,'🏦 PRÊTS'!A:B,2,0),"?"))</f>
        <v/>
      </c>
      <c r="D61" s="26" t="str">
        <f>IF(B61="","",IFERROR(VLOOKUP(B61,'🏦 PRÊTS'!A:C,3,0),"?"))</f>
        <v/>
      </c>
      <c r="E61" s="26" t="str">
        <f>IF(B61="","",IFERROR(VLOOKUP(B61,'🏦 PRÊTS'!A:D,4,0),"?"))</f>
        <v/>
      </c>
      <c r="F61" s="36"/>
      <c r="G61" s="36"/>
      <c r="H61" s="36"/>
      <c r="I61" s="36"/>
      <c r="J61" s="23" t="str">
        <f>IF(B61="","",IFERROR(VLOOKUP(B61,'🏦 PRÊTS'!A:Q,17,0),""))</f>
        <v/>
      </c>
      <c r="K61" s="28" t="str">
        <f t="shared" si="1"/>
        <v>—</v>
      </c>
      <c r="L61" s="36"/>
    </row>
    <row r="62" spans="1:12" ht="19.5" customHeight="1" x14ac:dyDescent="0.3">
      <c r="A62" s="38" t="s">
        <v>269</v>
      </c>
      <c r="B62" s="32"/>
      <c r="C62" s="25" t="str">
        <f>IF(B62="","",IFERROR(VLOOKUP(B62,'🏦 PRÊTS'!A:B,2,0),"?"))</f>
        <v/>
      </c>
      <c r="D62" s="18" t="str">
        <f>IF(B62="","",IFERROR(VLOOKUP(B62,'🏦 PRÊTS'!A:C,3,0),"?"))</f>
        <v/>
      </c>
      <c r="E62" s="18" t="str">
        <f>IF(B62="","",IFERROR(VLOOKUP(B62,'🏦 PRÊTS'!A:D,4,0),"?"))</f>
        <v/>
      </c>
      <c r="F62" s="32"/>
      <c r="G62" s="32"/>
      <c r="H62" s="32"/>
      <c r="I62" s="32"/>
      <c r="J62" s="23" t="str">
        <f>IF(B62="","",IFERROR(VLOOKUP(B62,'🏦 PRÊTS'!A:Q,17,0),""))</f>
        <v/>
      </c>
      <c r="K62" s="25" t="str">
        <f t="shared" si="1"/>
        <v>—</v>
      </c>
      <c r="L62" s="32"/>
    </row>
    <row r="63" spans="1:12" ht="19.5" customHeight="1" x14ac:dyDescent="0.3">
      <c r="A63" s="38" t="s">
        <v>270</v>
      </c>
      <c r="B63" s="36"/>
      <c r="C63" s="28" t="str">
        <f>IF(B63="","",IFERROR(VLOOKUP(B63,'🏦 PRÊTS'!A:B,2,0),"?"))</f>
        <v/>
      </c>
      <c r="D63" s="26" t="str">
        <f>IF(B63="","",IFERROR(VLOOKUP(B63,'🏦 PRÊTS'!A:C,3,0),"?"))</f>
        <v/>
      </c>
      <c r="E63" s="26" t="str">
        <f>IF(B63="","",IFERROR(VLOOKUP(B63,'🏦 PRÊTS'!A:D,4,0),"?"))</f>
        <v/>
      </c>
      <c r="F63" s="36"/>
      <c r="G63" s="36"/>
      <c r="H63" s="36"/>
      <c r="I63" s="36"/>
      <c r="J63" s="23" t="str">
        <f>IF(B63="","",IFERROR(VLOOKUP(B63,'🏦 PRÊTS'!A:Q,17,0),""))</f>
        <v/>
      </c>
      <c r="K63" s="28" t="str">
        <f t="shared" si="1"/>
        <v>—</v>
      </c>
      <c r="L63" s="36"/>
    </row>
    <row r="64" spans="1:12" ht="19.5" customHeight="1" x14ac:dyDescent="0.3">
      <c r="A64" s="38" t="s">
        <v>271</v>
      </c>
      <c r="B64" s="32"/>
      <c r="C64" s="25" t="str">
        <f>IF(B64="","",IFERROR(VLOOKUP(B64,'🏦 PRÊTS'!A:B,2,0),"?"))</f>
        <v/>
      </c>
      <c r="D64" s="18" t="str">
        <f>IF(B64="","",IFERROR(VLOOKUP(B64,'🏦 PRÊTS'!A:C,3,0),"?"))</f>
        <v/>
      </c>
      <c r="E64" s="18" t="str">
        <f>IF(B64="","",IFERROR(VLOOKUP(B64,'🏦 PRÊTS'!A:D,4,0),"?"))</f>
        <v/>
      </c>
      <c r="F64" s="32"/>
      <c r="G64" s="32"/>
      <c r="H64" s="32"/>
      <c r="I64" s="32"/>
      <c r="J64" s="23" t="str">
        <f>IF(B64="","",IFERROR(VLOOKUP(B64,'🏦 PRÊTS'!A:Q,17,0),""))</f>
        <v/>
      </c>
      <c r="K64" s="25" t="str">
        <f t="shared" si="1"/>
        <v>—</v>
      </c>
      <c r="L64" s="32"/>
    </row>
    <row r="65" spans="1:12" ht="19.5" customHeight="1" x14ac:dyDescent="0.3">
      <c r="A65" s="38" t="s">
        <v>272</v>
      </c>
      <c r="B65" s="36"/>
      <c r="C65" s="28" t="str">
        <f>IF(B65="","",IFERROR(VLOOKUP(B65,'🏦 PRÊTS'!A:B,2,0),"?"))</f>
        <v/>
      </c>
      <c r="D65" s="26" t="str">
        <f>IF(B65="","",IFERROR(VLOOKUP(B65,'🏦 PRÊTS'!A:C,3,0),"?"))</f>
        <v/>
      </c>
      <c r="E65" s="26" t="str">
        <f>IF(B65="","",IFERROR(VLOOKUP(B65,'🏦 PRÊTS'!A:D,4,0),"?"))</f>
        <v/>
      </c>
      <c r="F65" s="36"/>
      <c r="G65" s="36"/>
      <c r="H65" s="36"/>
      <c r="I65" s="36"/>
      <c r="J65" s="23" t="str">
        <f>IF(B65="","",IFERROR(VLOOKUP(B65,'🏦 PRÊTS'!A:Q,17,0),""))</f>
        <v/>
      </c>
      <c r="K65" s="28" t="str">
        <f t="shared" si="1"/>
        <v>—</v>
      </c>
      <c r="L65" s="36"/>
    </row>
    <row r="66" spans="1:12" ht="19.5" customHeight="1" x14ac:dyDescent="0.3">
      <c r="A66" s="38" t="s">
        <v>273</v>
      </c>
      <c r="B66" s="32"/>
      <c r="C66" s="25" t="str">
        <f>IF(B66="","",IFERROR(VLOOKUP(B66,'🏦 PRÊTS'!A:B,2,0),"?"))</f>
        <v/>
      </c>
      <c r="D66" s="18" t="str">
        <f>IF(B66="","",IFERROR(VLOOKUP(B66,'🏦 PRÊTS'!A:C,3,0),"?"))</f>
        <v/>
      </c>
      <c r="E66" s="18" t="str">
        <f>IF(B66="","",IFERROR(VLOOKUP(B66,'🏦 PRÊTS'!A:D,4,0),"?"))</f>
        <v/>
      </c>
      <c r="F66" s="32"/>
      <c r="G66" s="32"/>
      <c r="H66" s="32"/>
      <c r="I66" s="32"/>
      <c r="J66" s="23" t="str">
        <f>IF(B66="","",IFERROR(VLOOKUP(B66,'🏦 PRÊTS'!A:Q,17,0),""))</f>
        <v/>
      </c>
      <c r="K66" s="25" t="str">
        <f t="shared" si="1"/>
        <v>—</v>
      </c>
      <c r="L66" s="32"/>
    </row>
    <row r="67" spans="1:12" ht="19.5" customHeight="1" x14ac:dyDescent="0.3">
      <c r="A67" s="38" t="s">
        <v>274</v>
      </c>
      <c r="B67" s="36"/>
      <c r="C67" s="28" t="str">
        <f>IF(B67="","",IFERROR(VLOOKUP(B67,'🏦 PRÊTS'!A:B,2,0),"?"))</f>
        <v/>
      </c>
      <c r="D67" s="26" t="str">
        <f>IF(B67="","",IFERROR(VLOOKUP(B67,'🏦 PRÊTS'!A:C,3,0),"?"))</f>
        <v/>
      </c>
      <c r="E67" s="26" t="str">
        <f>IF(B67="","",IFERROR(VLOOKUP(B67,'🏦 PRÊTS'!A:D,4,0),"?"))</f>
        <v/>
      </c>
      <c r="F67" s="36"/>
      <c r="G67" s="36"/>
      <c r="H67" s="36"/>
      <c r="I67" s="36"/>
      <c r="J67" s="23" t="str">
        <f>IF(B67="","",IFERROR(VLOOKUP(B67,'🏦 PRÊTS'!A:Q,17,0),""))</f>
        <v/>
      </c>
      <c r="K67" s="28" t="str">
        <f t="shared" si="1"/>
        <v>—</v>
      </c>
      <c r="L67" s="36"/>
    </row>
    <row r="68" spans="1:12" ht="19.5" customHeight="1" x14ac:dyDescent="0.3">
      <c r="A68" s="38" t="s">
        <v>275</v>
      </c>
      <c r="B68" s="32"/>
      <c r="C68" s="25" t="str">
        <f>IF(B68="","",IFERROR(VLOOKUP(B68,'🏦 PRÊTS'!A:B,2,0),"?"))</f>
        <v/>
      </c>
      <c r="D68" s="18" t="str">
        <f>IF(B68="","",IFERROR(VLOOKUP(B68,'🏦 PRÊTS'!A:C,3,0),"?"))</f>
        <v/>
      </c>
      <c r="E68" s="18" t="str">
        <f>IF(B68="","",IFERROR(VLOOKUP(B68,'🏦 PRÊTS'!A:D,4,0),"?"))</f>
        <v/>
      </c>
      <c r="F68" s="32"/>
      <c r="G68" s="32"/>
      <c r="H68" s="32"/>
      <c r="I68" s="32"/>
      <c r="J68" s="23" t="str">
        <f>IF(B68="","",IFERROR(VLOOKUP(B68,'🏦 PRÊTS'!A:Q,17,0),""))</f>
        <v/>
      </c>
      <c r="K68" s="25" t="str">
        <f t="shared" ref="K68:K99" si="2">IF(J68="","—",IF(J68=0,"✅ Soldé","🔄 Partiel"))</f>
        <v>—</v>
      </c>
      <c r="L68" s="32"/>
    </row>
    <row r="69" spans="1:12" ht="19.5" customHeight="1" x14ac:dyDescent="0.3">
      <c r="A69" s="38" t="s">
        <v>276</v>
      </c>
      <c r="B69" s="36"/>
      <c r="C69" s="28" t="str">
        <f>IF(B69="","",IFERROR(VLOOKUP(B69,'🏦 PRÊTS'!A:B,2,0),"?"))</f>
        <v/>
      </c>
      <c r="D69" s="26" t="str">
        <f>IF(B69="","",IFERROR(VLOOKUP(B69,'🏦 PRÊTS'!A:C,3,0),"?"))</f>
        <v/>
      </c>
      <c r="E69" s="26" t="str">
        <f>IF(B69="","",IFERROR(VLOOKUP(B69,'🏦 PRÊTS'!A:D,4,0),"?"))</f>
        <v/>
      </c>
      <c r="F69" s="36"/>
      <c r="G69" s="36"/>
      <c r="H69" s="36"/>
      <c r="I69" s="36"/>
      <c r="J69" s="23" t="str">
        <f>IF(B69="","",IFERROR(VLOOKUP(B69,'🏦 PRÊTS'!A:Q,17,0),""))</f>
        <v/>
      </c>
      <c r="K69" s="28" t="str">
        <f t="shared" si="2"/>
        <v>—</v>
      </c>
      <c r="L69" s="36"/>
    </row>
    <row r="70" spans="1:12" ht="19.5" customHeight="1" x14ac:dyDescent="0.3">
      <c r="A70" s="38" t="s">
        <v>277</v>
      </c>
      <c r="B70" s="32"/>
      <c r="C70" s="25" t="str">
        <f>IF(B70="","",IFERROR(VLOOKUP(B70,'🏦 PRÊTS'!A:B,2,0),"?"))</f>
        <v/>
      </c>
      <c r="D70" s="18" t="str">
        <f>IF(B70="","",IFERROR(VLOOKUP(B70,'🏦 PRÊTS'!A:C,3,0),"?"))</f>
        <v/>
      </c>
      <c r="E70" s="18" t="str">
        <f>IF(B70="","",IFERROR(VLOOKUP(B70,'🏦 PRÊTS'!A:D,4,0),"?"))</f>
        <v/>
      </c>
      <c r="F70" s="32"/>
      <c r="G70" s="32"/>
      <c r="H70" s="32"/>
      <c r="I70" s="32"/>
      <c r="J70" s="23" t="str">
        <f>IF(B70="","",IFERROR(VLOOKUP(B70,'🏦 PRÊTS'!A:Q,17,0),""))</f>
        <v/>
      </c>
      <c r="K70" s="25" t="str">
        <f t="shared" si="2"/>
        <v>—</v>
      </c>
      <c r="L70" s="32"/>
    </row>
    <row r="71" spans="1:12" ht="19.5" customHeight="1" x14ac:dyDescent="0.3">
      <c r="A71" s="38" t="s">
        <v>278</v>
      </c>
      <c r="B71" s="36"/>
      <c r="C71" s="28" t="str">
        <f>IF(B71="","",IFERROR(VLOOKUP(B71,'🏦 PRÊTS'!A:B,2,0),"?"))</f>
        <v/>
      </c>
      <c r="D71" s="26" t="str">
        <f>IF(B71="","",IFERROR(VLOOKUP(B71,'🏦 PRÊTS'!A:C,3,0),"?"))</f>
        <v/>
      </c>
      <c r="E71" s="26" t="str">
        <f>IF(B71="","",IFERROR(VLOOKUP(B71,'🏦 PRÊTS'!A:D,4,0),"?"))</f>
        <v/>
      </c>
      <c r="F71" s="36"/>
      <c r="G71" s="36"/>
      <c r="H71" s="36"/>
      <c r="I71" s="36"/>
      <c r="J71" s="23" t="str">
        <f>IF(B71="","",IFERROR(VLOOKUP(B71,'🏦 PRÊTS'!A:Q,17,0),""))</f>
        <v/>
      </c>
      <c r="K71" s="28" t="str">
        <f t="shared" si="2"/>
        <v>—</v>
      </c>
      <c r="L71" s="36"/>
    </row>
    <row r="72" spans="1:12" ht="19.5" customHeight="1" x14ac:dyDescent="0.3">
      <c r="A72" s="38" t="s">
        <v>279</v>
      </c>
      <c r="B72" s="32"/>
      <c r="C72" s="25" t="str">
        <f>IF(B72="","",IFERROR(VLOOKUP(B72,'🏦 PRÊTS'!A:B,2,0),"?"))</f>
        <v/>
      </c>
      <c r="D72" s="18" t="str">
        <f>IF(B72="","",IFERROR(VLOOKUP(B72,'🏦 PRÊTS'!A:C,3,0),"?"))</f>
        <v/>
      </c>
      <c r="E72" s="18" t="str">
        <f>IF(B72="","",IFERROR(VLOOKUP(B72,'🏦 PRÊTS'!A:D,4,0),"?"))</f>
        <v/>
      </c>
      <c r="F72" s="32"/>
      <c r="G72" s="32"/>
      <c r="H72" s="32"/>
      <c r="I72" s="32"/>
      <c r="J72" s="23" t="str">
        <f>IF(B72="","",IFERROR(VLOOKUP(B72,'🏦 PRÊTS'!A:Q,17,0),""))</f>
        <v/>
      </c>
      <c r="K72" s="25" t="str">
        <f t="shared" si="2"/>
        <v>—</v>
      </c>
      <c r="L72" s="32"/>
    </row>
    <row r="73" spans="1:12" ht="19.5" customHeight="1" x14ac:dyDescent="0.3">
      <c r="A73" s="38" t="s">
        <v>280</v>
      </c>
      <c r="B73" s="36"/>
      <c r="C73" s="28" t="str">
        <f>IF(B73="","",IFERROR(VLOOKUP(B73,'🏦 PRÊTS'!A:B,2,0),"?"))</f>
        <v/>
      </c>
      <c r="D73" s="26" t="str">
        <f>IF(B73="","",IFERROR(VLOOKUP(B73,'🏦 PRÊTS'!A:C,3,0),"?"))</f>
        <v/>
      </c>
      <c r="E73" s="26" t="str">
        <f>IF(B73="","",IFERROR(VLOOKUP(B73,'🏦 PRÊTS'!A:D,4,0),"?"))</f>
        <v/>
      </c>
      <c r="F73" s="36"/>
      <c r="G73" s="36"/>
      <c r="H73" s="36"/>
      <c r="I73" s="36"/>
      <c r="J73" s="23" t="str">
        <f>IF(B73="","",IFERROR(VLOOKUP(B73,'🏦 PRÊTS'!A:Q,17,0),""))</f>
        <v/>
      </c>
      <c r="K73" s="28" t="str">
        <f t="shared" si="2"/>
        <v>—</v>
      </c>
      <c r="L73" s="36"/>
    </row>
    <row r="74" spans="1:12" ht="19.5" customHeight="1" x14ac:dyDescent="0.3">
      <c r="A74" s="38" t="s">
        <v>281</v>
      </c>
      <c r="B74" s="32"/>
      <c r="C74" s="25" t="str">
        <f>IF(B74="","",IFERROR(VLOOKUP(B74,'🏦 PRÊTS'!A:B,2,0),"?"))</f>
        <v/>
      </c>
      <c r="D74" s="18" t="str">
        <f>IF(B74="","",IFERROR(VLOOKUP(B74,'🏦 PRÊTS'!A:C,3,0),"?"))</f>
        <v/>
      </c>
      <c r="E74" s="18" t="str">
        <f>IF(B74="","",IFERROR(VLOOKUP(B74,'🏦 PRÊTS'!A:D,4,0),"?"))</f>
        <v/>
      </c>
      <c r="F74" s="32"/>
      <c r="G74" s="32"/>
      <c r="H74" s="32"/>
      <c r="I74" s="32"/>
      <c r="J74" s="23" t="str">
        <f>IF(B74="","",IFERROR(VLOOKUP(B74,'🏦 PRÊTS'!A:Q,17,0),""))</f>
        <v/>
      </c>
      <c r="K74" s="25" t="str">
        <f t="shared" si="2"/>
        <v>—</v>
      </c>
      <c r="L74" s="32"/>
    </row>
    <row r="75" spans="1:12" ht="19.5" customHeight="1" x14ac:dyDescent="0.3">
      <c r="A75" s="38" t="s">
        <v>282</v>
      </c>
      <c r="B75" s="36"/>
      <c r="C75" s="28" t="str">
        <f>IF(B75="","",IFERROR(VLOOKUP(B75,'🏦 PRÊTS'!A:B,2,0),"?"))</f>
        <v/>
      </c>
      <c r="D75" s="26" t="str">
        <f>IF(B75="","",IFERROR(VLOOKUP(B75,'🏦 PRÊTS'!A:C,3,0),"?"))</f>
        <v/>
      </c>
      <c r="E75" s="26" t="str">
        <f>IF(B75="","",IFERROR(VLOOKUP(B75,'🏦 PRÊTS'!A:D,4,0),"?"))</f>
        <v/>
      </c>
      <c r="F75" s="36"/>
      <c r="G75" s="36"/>
      <c r="H75" s="36"/>
      <c r="I75" s="36"/>
      <c r="J75" s="23" t="str">
        <f>IF(B75="","",IFERROR(VLOOKUP(B75,'🏦 PRÊTS'!A:Q,17,0),""))</f>
        <v/>
      </c>
      <c r="K75" s="28" t="str">
        <f t="shared" si="2"/>
        <v>—</v>
      </c>
      <c r="L75" s="36"/>
    </row>
    <row r="76" spans="1:12" ht="19.5" customHeight="1" x14ac:dyDescent="0.3">
      <c r="A76" s="38" t="s">
        <v>283</v>
      </c>
      <c r="B76" s="32"/>
      <c r="C76" s="25" t="str">
        <f>IF(B76="","",IFERROR(VLOOKUP(B76,'🏦 PRÊTS'!A:B,2,0),"?"))</f>
        <v/>
      </c>
      <c r="D76" s="18" t="str">
        <f>IF(B76="","",IFERROR(VLOOKUP(B76,'🏦 PRÊTS'!A:C,3,0),"?"))</f>
        <v/>
      </c>
      <c r="E76" s="18" t="str">
        <f>IF(B76="","",IFERROR(VLOOKUP(B76,'🏦 PRÊTS'!A:D,4,0),"?"))</f>
        <v/>
      </c>
      <c r="F76" s="32"/>
      <c r="G76" s="32"/>
      <c r="H76" s="32"/>
      <c r="I76" s="32"/>
      <c r="J76" s="23" t="str">
        <f>IF(B76="","",IFERROR(VLOOKUP(B76,'🏦 PRÊTS'!A:Q,17,0),""))</f>
        <v/>
      </c>
      <c r="K76" s="25" t="str">
        <f t="shared" si="2"/>
        <v>—</v>
      </c>
      <c r="L76" s="32"/>
    </row>
    <row r="77" spans="1:12" ht="19.5" customHeight="1" x14ac:dyDescent="0.3">
      <c r="A77" s="38" t="s">
        <v>284</v>
      </c>
      <c r="B77" s="36"/>
      <c r="C77" s="28" t="str">
        <f>IF(B77="","",IFERROR(VLOOKUP(B77,'🏦 PRÊTS'!A:B,2,0),"?"))</f>
        <v/>
      </c>
      <c r="D77" s="26" t="str">
        <f>IF(B77="","",IFERROR(VLOOKUP(B77,'🏦 PRÊTS'!A:C,3,0),"?"))</f>
        <v/>
      </c>
      <c r="E77" s="26" t="str">
        <f>IF(B77="","",IFERROR(VLOOKUP(B77,'🏦 PRÊTS'!A:D,4,0),"?"))</f>
        <v/>
      </c>
      <c r="F77" s="36"/>
      <c r="G77" s="36"/>
      <c r="H77" s="36"/>
      <c r="I77" s="36"/>
      <c r="J77" s="23" t="str">
        <f>IF(B77="","",IFERROR(VLOOKUP(B77,'🏦 PRÊTS'!A:Q,17,0),""))</f>
        <v/>
      </c>
      <c r="K77" s="28" t="str">
        <f t="shared" si="2"/>
        <v>—</v>
      </c>
      <c r="L77" s="36"/>
    </row>
    <row r="78" spans="1:12" ht="19.5" customHeight="1" x14ac:dyDescent="0.3">
      <c r="A78" s="38" t="s">
        <v>285</v>
      </c>
      <c r="B78" s="32"/>
      <c r="C78" s="25" t="str">
        <f>IF(B78="","",IFERROR(VLOOKUP(B78,'🏦 PRÊTS'!A:B,2,0),"?"))</f>
        <v/>
      </c>
      <c r="D78" s="18" t="str">
        <f>IF(B78="","",IFERROR(VLOOKUP(B78,'🏦 PRÊTS'!A:C,3,0),"?"))</f>
        <v/>
      </c>
      <c r="E78" s="18" t="str">
        <f>IF(B78="","",IFERROR(VLOOKUP(B78,'🏦 PRÊTS'!A:D,4,0),"?"))</f>
        <v/>
      </c>
      <c r="F78" s="32"/>
      <c r="G78" s="32"/>
      <c r="H78" s="32"/>
      <c r="I78" s="32"/>
      <c r="J78" s="23" t="str">
        <f>IF(B78="","",IFERROR(VLOOKUP(B78,'🏦 PRÊTS'!A:Q,17,0),""))</f>
        <v/>
      </c>
      <c r="K78" s="25" t="str">
        <f t="shared" si="2"/>
        <v>—</v>
      </c>
      <c r="L78" s="32"/>
    </row>
    <row r="79" spans="1:12" ht="19.5" customHeight="1" x14ac:dyDescent="0.3">
      <c r="A79" s="38" t="s">
        <v>286</v>
      </c>
      <c r="B79" s="36"/>
      <c r="C79" s="28" t="str">
        <f>IF(B79="","",IFERROR(VLOOKUP(B79,'🏦 PRÊTS'!A:B,2,0),"?"))</f>
        <v/>
      </c>
      <c r="D79" s="26" t="str">
        <f>IF(B79="","",IFERROR(VLOOKUP(B79,'🏦 PRÊTS'!A:C,3,0),"?"))</f>
        <v/>
      </c>
      <c r="E79" s="26" t="str">
        <f>IF(B79="","",IFERROR(VLOOKUP(B79,'🏦 PRÊTS'!A:D,4,0),"?"))</f>
        <v/>
      </c>
      <c r="F79" s="36"/>
      <c r="G79" s="36"/>
      <c r="H79" s="36"/>
      <c r="I79" s="36"/>
      <c r="J79" s="23" t="str">
        <f>IF(B79="","",IFERROR(VLOOKUP(B79,'🏦 PRÊTS'!A:Q,17,0),""))</f>
        <v/>
      </c>
      <c r="K79" s="28" t="str">
        <f t="shared" si="2"/>
        <v>—</v>
      </c>
      <c r="L79" s="36"/>
    </row>
    <row r="80" spans="1:12" ht="19.5" customHeight="1" x14ac:dyDescent="0.3">
      <c r="A80" s="38" t="s">
        <v>287</v>
      </c>
      <c r="B80" s="32"/>
      <c r="C80" s="25" t="str">
        <f>IF(B80="","",IFERROR(VLOOKUP(B80,'🏦 PRÊTS'!A:B,2,0),"?"))</f>
        <v/>
      </c>
      <c r="D80" s="18" t="str">
        <f>IF(B80="","",IFERROR(VLOOKUP(B80,'🏦 PRÊTS'!A:C,3,0),"?"))</f>
        <v/>
      </c>
      <c r="E80" s="18" t="str">
        <f>IF(B80="","",IFERROR(VLOOKUP(B80,'🏦 PRÊTS'!A:D,4,0),"?"))</f>
        <v/>
      </c>
      <c r="F80" s="32"/>
      <c r="G80" s="32"/>
      <c r="H80" s="32"/>
      <c r="I80" s="32"/>
      <c r="J80" s="23" t="str">
        <f>IF(B80="","",IFERROR(VLOOKUP(B80,'🏦 PRÊTS'!A:Q,17,0),""))</f>
        <v/>
      </c>
      <c r="K80" s="25" t="str">
        <f t="shared" si="2"/>
        <v>—</v>
      </c>
      <c r="L80" s="32"/>
    </row>
    <row r="81" spans="1:12" ht="19.5" customHeight="1" x14ac:dyDescent="0.3">
      <c r="A81" s="38" t="s">
        <v>288</v>
      </c>
      <c r="B81" s="36"/>
      <c r="C81" s="28" t="str">
        <f>IF(B81="","",IFERROR(VLOOKUP(B81,'🏦 PRÊTS'!A:B,2,0),"?"))</f>
        <v/>
      </c>
      <c r="D81" s="26" t="str">
        <f>IF(B81="","",IFERROR(VLOOKUP(B81,'🏦 PRÊTS'!A:C,3,0),"?"))</f>
        <v/>
      </c>
      <c r="E81" s="26" t="str">
        <f>IF(B81="","",IFERROR(VLOOKUP(B81,'🏦 PRÊTS'!A:D,4,0),"?"))</f>
        <v/>
      </c>
      <c r="F81" s="36"/>
      <c r="G81" s="36"/>
      <c r="H81" s="36"/>
      <c r="I81" s="36"/>
      <c r="J81" s="23" t="str">
        <f>IF(B81="","",IFERROR(VLOOKUP(B81,'🏦 PRÊTS'!A:Q,17,0),""))</f>
        <v/>
      </c>
      <c r="K81" s="28" t="str">
        <f t="shared" si="2"/>
        <v>—</v>
      </c>
      <c r="L81" s="36"/>
    </row>
    <row r="82" spans="1:12" ht="19.5" customHeight="1" x14ac:dyDescent="0.3">
      <c r="A82" s="38" t="s">
        <v>289</v>
      </c>
      <c r="B82" s="32"/>
      <c r="C82" s="25" t="str">
        <f>IF(B82="","",IFERROR(VLOOKUP(B82,'🏦 PRÊTS'!A:B,2,0),"?"))</f>
        <v/>
      </c>
      <c r="D82" s="18" t="str">
        <f>IF(B82="","",IFERROR(VLOOKUP(B82,'🏦 PRÊTS'!A:C,3,0),"?"))</f>
        <v/>
      </c>
      <c r="E82" s="18" t="str">
        <f>IF(B82="","",IFERROR(VLOOKUP(B82,'🏦 PRÊTS'!A:D,4,0),"?"))</f>
        <v/>
      </c>
      <c r="F82" s="32"/>
      <c r="G82" s="32"/>
      <c r="H82" s="32"/>
      <c r="I82" s="32"/>
      <c r="J82" s="23" t="str">
        <f>IF(B82="","",IFERROR(VLOOKUP(B82,'🏦 PRÊTS'!A:Q,17,0),""))</f>
        <v/>
      </c>
      <c r="K82" s="25" t="str">
        <f t="shared" si="2"/>
        <v>—</v>
      </c>
      <c r="L82" s="32"/>
    </row>
    <row r="83" spans="1:12" ht="19.5" customHeight="1" x14ac:dyDescent="0.3">
      <c r="A83" s="38" t="s">
        <v>290</v>
      </c>
      <c r="B83" s="36"/>
      <c r="C83" s="28" t="str">
        <f>IF(B83="","",IFERROR(VLOOKUP(B83,'🏦 PRÊTS'!A:B,2,0),"?"))</f>
        <v/>
      </c>
      <c r="D83" s="26" t="str">
        <f>IF(B83="","",IFERROR(VLOOKUP(B83,'🏦 PRÊTS'!A:C,3,0),"?"))</f>
        <v/>
      </c>
      <c r="E83" s="26" t="str">
        <f>IF(B83="","",IFERROR(VLOOKUP(B83,'🏦 PRÊTS'!A:D,4,0),"?"))</f>
        <v/>
      </c>
      <c r="F83" s="36"/>
      <c r="G83" s="36"/>
      <c r="H83" s="36"/>
      <c r="I83" s="36"/>
      <c r="J83" s="23" t="str">
        <f>IF(B83="","",IFERROR(VLOOKUP(B83,'🏦 PRÊTS'!A:Q,17,0),""))</f>
        <v/>
      </c>
      <c r="K83" s="28" t="str">
        <f t="shared" si="2"/>
        <v>—</v>
      </c>
      <c r="L83" s="36"/>
    </row>
    <row r="84" spans="1:12" ht="19.5" customHeight="1" x14ac:dyDescent="0.3">
      <c r="A84" s="38" t="s">
        <v>291</v>
      </c>
      <c r="B84" s="32"/>
      <c r="C84" s="25" t="str">
        <f>IF(B84="","",IFERROR(VLOOKUP(B84,'🏦 PRÊTS'!A:B,2,0),"?"))</f>
        <v/>
      </c>
      <c r="D84" s="18" t="str">
        <f>IF(B84="","",IFERROR(VLOOKUP(B84,'🏦 PRÊTS'!A:C,3,0),"?"))</f>
        <v/>
      </c>
      <c r="E84" s="18" t="str">
        <f>IF(B84="","",IFERROR(VLOOKUP(B84,'🏦 PRÊTS'!A:D,4,0),"?"))</f>
        <v/>
      </c>
      <c r="F84" s="32"/>
      <c r="G84" s="32"/>
      <c r="H84" s="32"/>
      <c r="I84" s="32"/>
      <c r="J84" s="23" t="str">
        <f>IF(B84="","",IFERROR(VLOOKUP(B84,'🏦 PRÊTS'!A:Q,17,0),""))</f>
        <v/>
      </c>
      <c r="K84" s="25" t="str">
        <f t="shared" si="2"/>
        <v>—</v>
      </c>
      <c r="L84" s="32"/>
    </row>
    <row r="85" spans="1:12" ht="19.5" customHeight="1" x14ac:dyDescent="0.3">
      <c r="A85" s="38" t="s">
        <v>292</v>
      </c>
      <c r="B85" s="36"/>
      <c r="C85" s="28" t="str">
        <f>IF(B85="","",IFERROR(VLOOKUP(B85,'🏦 PRÊTS'!A:B,2,0),"?"))</f>
        <v/>
      </c>
      <c r="D85" s="26" t="str">
        <f>IF(B85="","",IFERROR(VLOOKUP(B85,'🏦 PRÊTS'!A:C,3,0),"?"))</f>
        <v/>
      </c>
      <c r="E85" s="26" t="str">
        <f>IF(B85="","",IFERROR(VLOOKUP(B85,'🏦 PRÊTS'!A:D,4,0),"?"))</f>
        <v/>
      </c>
      <c r="F85" s="36"/>
      <c r="G85" s="36"/>
      <c r="H85" s="36"/>
      <c r="I85" s="36"/>
      <c r="J85" s="23" t="str">
        <f>IF(B85="","",IFERROR(VLOOKUP(B85,'🏦 PRÊTS'!A:Q,17,0),""))</f>
        <v/>
      </c>
      <c r="K85" s="28" t="str">
        <f t="shared" si="2"/>
        <v>—</v>
      </c>
      <c r="L85" s="36"/>
    </row>
    <row r="86" spans="1:12" ht="19.5" customHeight="1" x14ac:dyDescent="0.3">
      <c r="A86" s="38" t="s">
        <v>293</v>
      </c>
      <c r="B86" s="32"/>
      <c r="C86" s="25" t="str">
        <f>IF(B86="","",IFERROR(VLOOKUP(B86,'🏦 PRÊTS'!A:B,2,0),"?"))</f>
        <v/>
      </c>
      <c r="D86" s="18" t="str">
        <f>IF(B86="","",IFERROR(VLOOKUP(B86,'🏦 PRÊTS'!A:C,3,0),"?"))</f>
        <v/>
      </c>
      <c r="E86" s="18" t="str">
        <f>IF(B86="","",IFERROR(VLOOKUP(B86,'🏦 PRÊTS'!A:D,4,0),"?"))</f>
        <v/>
      </c>
      <c r="F86" s="32"/>
      <c r="G86" s="32"/>
      <c r="H86" s="32"/>
      <c r="I86" s="32"/>
      <c r="J86" s="23" t="str">
        <f>IF(B86="","",IFERROR(VLOOKUP(B86,'🏦 PRÊTS'!A:Q,17,0),""))</f>
        <v/>
      </c>
      <c r="K86" s="25" t="str">
        <f t="shared" si="2"/>
        <v>—</v>
      </c>
      <c r="L86" s="32"/>
    </row>
    <row r="87" spans="1:12" ht="19.5" customHeight="1" x14ac:dyDescent="0.3">
      <c r="A87" s="38" t="s">
        <v>294</v>
      </c>
      <c r="B87" s="36"/>
      <c r="C87" s="28" t="str">
        <f>IF(B87="","",IFERROR(VLOOKUP(B87,'🏦 PRÊTS'!A:B,2,0),"?"))</f>
        <v/>
      </c>
      <c r="D87" s="26" t="str">
        <f>IF(B87="","",IFERROR(VLOOKUP(B87,'🏦 PRÊTS'!A:C,3,0),"?"))</f>
        <v/>
      </c>
      <c r="E87" s="26" t="str">
        <f>IF(B87="","",IFERROR(VLOOKUP(B87,'🏦 PRÊTS'!A:D,4,0),"?"))</f>
        <v/>
      </c>
      <c r="F87" s="36"/>
      <c r="G87" s="36"/>
      <c r="H87" s="36"/>
      <c r="I87" s="36"/>
      <c r="J87" s="23" t="str">
        <f>IF(B87="","",IFERROR(VLOOKUP(B87,'🏦 PRÊTS'!A:Q,17,0),""))</f>
        <v/>
      </c>
      <c r="K87" s="28" t="str">
        <f t="shared" si="2"/>
        <v>—</v>
      </c>
      <c r="L87" s="36"/>
    </row>
    <row r="88" spans="1:12" ht="19.5" customHeight="1" x14ac:dyDescent="0.3">
      <c r="A88" s="38" t="s">
        <v>295</v>
      </c>
      <c r="B88" s="32"/>
      <c r="C88" s="25" t="str">
        <f>IF(B88="","",IFERROR(VLOOKUP(B88,'🏦 PRÊTS'!A:B,2,0),"?"))</f>
        <v/>
      </c>
      <c r="D88" s="18" t="str">
        <f>IF(B88="","",IFERROR(VLOOKUP(B88,'🏦 PRÊTS'!A:C,3,0),"?"))</f>
        <v/>
      </c>
      <c r="E88" s="18" t="str">
        <f>IF(B88="","",IFERROR(VLOOKUP(B88,'🏦 PRÊTS'!A:D,4,0),"?"))</f>
        <v/>
      </c>
      <c r="F88" s="32"/>
      <c r="G88" s="32"/>
      <c r="H88" s="32"/>
      <c r="I88" s="32"/>
      <c r="J88" s="23" t="str">
        <f>IF(B88="","",IFERROR(VLOOKUP(B88,'🏦 PRÊTS'!A:Q,17,0),""))</f>
        <v/>
      </c>
      <c r="K88" s="25" t="str">
        <f t="shared" si="2"/>
        <v>—</v>
      </c>
      <c r="L88" s="32"/>
    </row>
    <row r="89" spans="1:12" ht="19.5" customHeight="1" x14ac:dyDescent="0.3">
      <c r="A89" s="38" t="s">
        <v>296</v>
      </c>
      <c r="B89" s="36"/>
      <c r="C89" s="28" t="str">
        <f>IF(B89="","",IFERROR(VLOOKUP(B89,'🏦 PRÊTS'!A:B,2,0),"?"))</f>
        <v/>
      </c>
      <c r="D89" s="26" t="str">
        <f>IF(B89="","",IFERROR(VLOOKUP(B89,'🏦 PRÊTS'!A:C,3,0),"?"))</f>
        <v/>
      </c>
      <c r="E89" s="26" t="str">
        <f>IF(B89="","",IFERROR(VLOOKUP(B89,'🏦 PRÊTS'!A:D,4,0),"?"))</f>
        <v/>
      </c>
      <c r="F89" s="36"/>
      <c r="G89" s="36"/>
      <c r="H89" s="36"/>
      <c r="I89" s="36"/>
      <c r="J89" s="23" t="str">
        <f>IF(B89="","",IFERROR(VLOOKUP(B89,'🏦 PRÊTS'!A:Q,17,0),""))</f>
        <v/>
      </c>
      <c r="K89" s="28" t="str">
        <f t="shared" si="2"/>
        <v>—</v>
      </c>
      <c r="L89" s="36"/>
    </row>
    <row r="90" spans="1:12" ht="19.5" customHeight="1" x14ac:dyDescent="0.3">
      <c r="A90" s="38" t="s">
        <v>297</v>
      </c>
      <c r="B90" s="32"/>
      <c r="C90" s="25" t="str">
        <f>IF(B90="","",IFERROR(VLOOKUP(B90,'🏦 PRÊTS'!A:B,2,0),"?"))</f>
        <v/>
      </c>
      <c r="D90" s="18" t="str">
        <f>IF(B90="","",IFERROR(VLOOKUP(B90,'🏦 PRÊTS'!A:C,3,0),"?"))</f>
        <v/>
      </c>
      <c r="E90" s="18" t="str">
        <f>IF(B90="","",IFERROR(VLOOKUP(B90,'🏦 PRÊTS'!A:D,4,0),"?"))</f>
        <v/>
      </c>
      <c r="F90" s="32"/>
      <c r="G90" s="32"/>
      <c r="H90" s="32"/>
      <c r="I90" s="32"/>
      <c r="J90" s="23" t="str">
        <f>IF(B90="","",IFERROR(VLOOKUP(B90,'🏦 PRÊTS'!A:Q,17,0),""))</f>
        <v/>
      </c>
      <c r="K90" s="25" t="str">
        <f t="shared" si="2"/>
        <v>—</v>
      </c>
      <c r="L90" s="32"/>
    </row>
    <row r="91" spans="1:12" ht="19.5" customHeight="1" x14ac:dyDescent="0.3">
      <c r="A91" s="38" t="s">
        <v>298</v>
      </c>
      <c r="B91" s="36"/>
      <c r="C91" s="28" t="str">
        <f>IF(B91="","",IFERROR(VLOOKUP(B91,'🏦 PRÊTS'!A:B,2,0),"?"))</f>
        <v/>
      </c>
      <c r="D91" s="26" t="str">
        <f>IF(B91="","",IFERROR(VLOOKUP(B91,'🏦 PRÊTS'!A:C,3,0),"?"))</f>
        <v/>
      </c>
      <c r="E91" s="26" t="str">
        <f>IF(B91="","",IFERROR(VLOOKUP(B91,'🏦 PRÊTS'!A:D,4,0),"?"))</f>
        <v/>
      </c>
      <c r="F91" s="36"/>
      <c r="G91" s="36"/>
      <c r="H91" s="36"/>
      <c r="I91" s="36"/>
      <c r="J91" s="23" t="str">
        <f>IF(B91="","",IFERROR(VLOOKUP(B91,'🏦 PRÊTS'!A:Q,17,0),""))</f>
        <v/>
      </c>
      <c r="K91" s="28" t="str">
        <f t="shared" si="2"/>
        <v>—</v>
      </c>
      <c r="L91" s="36"/>
    </row>
    <row r="92" spans="1:12" ht="19.5" customHeight="1" x14ac:dyDescent="0.3">
      <c r="A92" s="38" t="s">
        <v>299</v>
      </c>
      <c r="B92" s="32"/>
      <c r="C92" s="25" t="str">
        <f>IF(B92="","",IFERROR(VLOOKUP(B92,'🏦 PRÊTS'!A:B,2,0),"?"))</f>
        <v/>
      </c>
      <c r="D92" s="18" t="str">
        <f>IF(B92="","",IFERROR(VLOOKUP(B92,'🏦 PRÊTS'!A:C,3,0),"?"))</f>
        <v/>
      </c>
      <c r="E92" s="18" t="str">
        <f>IF(B92="","",IFERROR(VLOOKUP(B92,'🏦 PRÊTS'!A:D,4,0),"?"))</f>
        <v/>
      </c>
      <c r="F92" s="32"/>
      <c r="G92" s="32"/>
      <c r="H92" s="32"/>
      <c r="I92" s="32"/>
      <c r="J92" s="23" t="str">
        <f>IF(B92="","",IFERROR(VLOOKUP(B92,'🏦 PRÊTS'!A:Q,17,0),""))</f>
        <v/>
      </c>
      <c r="K92" s="25" t="str">
        <f t="shared" si="2"/>
        <v>—</v>
      </c>
      <c r="L92" s="32"/>
    </row>
    <row r="93" spans="1:12" ht="19.5" customHeight="1" x14ac:dyDescent="0.3">
      <c r="A93" s="38" t="s">
        <v>300</v>
      </c>
      <c r="B93" s="36"/>
      <c r="C93" s="28" t="str">
        <f>IF(B93="","",IFERROR(VLOOKUP(B93,'🏦 PRÊTS'!A:B,2,0),"?"))</f>
        <v/>
      </c>
      <c r="D93" s="26" t="str">
        <f>IF(B93="","",IFERROR(VLOOKUP(B93,'🏦 PRÊTS'!A:C,3,0),"?"))</f>
        <v/>
      </c>
      <c r="E93" s="26" t="str">
        <f>IF(B93="","",IFERROR(VLOOKUP(B93,'🏦 PRÊTS'!A:D,4,0),"?"))</f>
        <v/>
      </c>
      <c r="F93" s="36"/>
      <c r="G93" s="36"/>
      <c r="H93" s="36"/>
      <c r="I93" s="36"/>
      <c r="J93" s="23" t="str">
        <f>IF(B93="","",IFERROR(VLOOKUP(B93,'🏦 PRÊTS'!A:Q,17,0),""))</f>
        <v/>
      </c>
      <c r="K93" s="28" t="str">
        <f t="shared" si="2"/>
        <v>—</v>
      </c>
      <c r="L93" s="36"/>
    </row>
    <row r="94" spans="1:12" ht="19.5" customHeight="1" x14ac:dyDescent="0.3">
      <c r="A94" s="38" t="s">
        <v>301</v>
      </c>
      <c r="B94" s="32"/>
      <c r="C94" s="25" t="str">
        <f>IF(B94="","",IFERROR(VLOOKUP(B94,'🏦 PRÊTS'!A:B,2,0),"?"))</f>
        <v/>
      </c>
      <c r="D94" s="18" t="str">
        <f>IF(B94="","",IFERROR(VLOOKUP(B94,'🏦 PRÊTS'!A:C,3,0),"?"))</f>
        <v/>
      </c>
      <c r="E94" s="18" t="str">
        <f>IF(B94="","",IFERROR(VLOOKUP(B94,'🏦 PRÊTS'!A:D,4,0),"?"))</f>
        <v/>
      </c>
      <c r="F94" s="32"/>
      <c r="G94" s="32"/>
      <c r="H94" s="32"/>
      <c r="I94" s="32"/>
      <c r="J94" s="23" t="str">
        <f>IF(B94="","",IFERROR(VLOOKUP(B94,'🏦 PRÊTS'!A:Q,17,0),""))</f>
        <v/>
      </c>
      <c r="K94" s="25" t="str">
        <f t="shared" si="2"/>
        <v>—</v>
      </c>
      <c r="L94" s="32"/>
    </row>
    <row r="95" spans="1:12" ht="19.5" customHeight="1" x14ac:dyDescent="0.3">
      <c r="A95" s="38" t="s">
        <v>302</v>
      </c>
      <c r="B95" s="36"/>
      <c r="C95" s="28" t="str">
        <f>IF(B95="","",IFERROR(VLOOKUP(B95,'🏦 PRÊTS'!A:B,2,0),"?"))</f>
        <v/>
      </c>
      <c r="D95" s="26" t="str">
        <f>IF(B95="","",IFERROR(VLOOKUP(B95,'🏦 PRÊTS'!A:C,3,0),"?"))</f>
        <v/>
      </c>
      <c r="E95" s="26" t="str">
        <f>IF(B95="","",IFERROR(VLOOKUP(B95,'🏦 PRÊTS'!A:D,4,0),"?"))</f>
        <v/>
      </c>
      <c r="F95" s="36"/>
      <c r="G95" s="36"/>
      <c r="H95" s="36"/>
      <c r="I95" s="36"/>
      <c r="J95" s="23" t="str">
        <f>IF(B95="","",IFERROR(VLOOKUP(B95,'🏦 PRÊTS'!A:Q,17,0),""))</f>
        <v/>
      </c>
      <c r="K95" s="28" t="str">
        <f t="shared" si="2"/>
        <v>—</v>
      </c>
      <c r="L95" s="36"/>
    </row>
    <row r="96" spans="1:12" ht="19.5" customHeight="1" x14ac:dyDescent="0.3">
      <c r="A96" s="38" t="s">
        <v>303</v>
      </c>
      <c r="B96" s="32"/>
      <c r="C96" s="25" t="str">
        <f>IF(B96="","",IFERROR(VLOOKUP(B96,'🏦 PRÊTS'!A:B,2,0),"?"))</f>
        <v/>
      </c>
      <c r="D96" s="18" t="str">
        <f>IF(B96="","",IFERROR(VLOOKUP(B96,'🏦 PRÊTS'!A:C,3,0),"?"))</f>
        <v/>
      </c>
      <c r="E96" s="18" t="str">
        <f>IF(B96="","",IFERROR(VLOOKUP(B96,'🏦 PRÊTS'!A:D,4,0),"?"))</f>
        <v/>
      </c>
      <c r="F96" s="32"/>
      <c r="G96" s="32"/>
      <c r="H96" s="32"/>
      <c r="I96" s="32"/>
      <c r="J96" s="23" t="str">
        <f>IF(B96="","",IFERROR(VLOOKUP(B96,'🏦 PRÊTS'!A:Q,17,0),""))</f>
        <v/>
      </c>
      <c r="K96" s="25" t="str">
        <f t="shared" si="2"/>
        <v>—</v>
      </c>
      <c r="L96" s="32"/>
    </row>
    <row r="97" spans="1:12" ht="19.5" customHeight="1" x14ac:dyDescent="0.3">
      <c r="A97" s="38" t="s">
        <v>304</v>
      </c>
      <c r="B97" s="36"/>
      <c r="C97" s="28" t="str">
        <f>IF(B97="","",IFERROR(VLOOKUP(B97,'🏦 PRÊTS'!A:B,2,0),"?"))</f>
        <v/>
      </c>
      <c r="D97" s="26" t="str">
        <f>IF(B97="","",IFERROR(VLOOKUP(B97,'🏦 PRÊTS'!A:C,3,0),"?"))</f>
        <v/>
      </c>
      <c r="E97" s="26" t="str">
        <f>IF(B97="","",IFERROR(VLOOKUP(B97,'🏦 PRÊTS'!A:D,4,0),"?"))</f>
        <v/>
      </c>
      <c r="F97" s="36"/>
      <c r="G97" s="36"/>
      <c r="H97" s="36"/>
      <c r="I97" s="36"/>
      <c r="J97" s="23" t="str">
        <f>IF(B97="","",IFERROR(VLOOKUP(B97,'🏦 PRÊTS'!A:Q,17,0),""))</f>
        <v/>
      </c>
      <c r="K97" s="28" t="str">
        <f t="shared" si="2"/>
        <v>—</v>
      </c>
      <c r="L97" s="36"/>
    </row>
    <row r="98" spans="1:12" ht="19.5" customHeight="1" x14ac:dyDescent="0.3">
      <c r="A98" s="38" t="s">
        <v>305</v>
      </c>
      <c r="B98" s="32"/>
      <c r="C98" s="25" t="str">
        <f>IF(B98="","",IFERROR(VLOOKUP(B98,'🏦 PRÊTS'!A:B,2,0),"?"))</f>
        <v/>
      </c>
      <c r="D98" s="18" t="str">
        <f>IF(B98="","",IFERROR(VLOOKUP(B98,'🏦 PRÊTS'!A:C,3,0),"?"))</f>
        <v/>
      </c>
      <c r="E98" s="18" t="str">
        <f>IF(B98="","",IFERROR(VLOOKUP(B98,'🏦 PRÊTS'!A:D,4,0),"?"))</f>
        <v/>
      </c>
      <c r="F98" s="32"/>
      <c r="G98" s="32"/>
      <c r="H98" s="32"/>
      <c r="I98" s="32"/>
      <c r="J98" s="23" t="str">
        <f>IF(B98="","",IFERROR(VLOOKUP(B98,'🏦 PRÊTS'!A:Q,17,0),""))</f>
        <v/>
      </c>
      <c r="K98" s="25" t="str">
        <f t="shared" si="2"/>
        <v>—</v>
      </c>
      <c r="L98" s="32"/>
    </row>
    <row r="99" spans="1:12" ht="19.5" customHeight="1" x14ac:dyDescent="0.3">
      <c r="A99" s="38" t="s">
        <v>306</v>
      </c>
      <c r="B99" s="36"/>
      <c r="C99" s="28" t="str">
        <f>IF(B99="","",IFERROR(VLOOKUP(B99,'🏦 PRÊTS'!A:B,2,0),"?"))</f>
        <v/>
      </c>
      <c r="D99" s="26" t="str">
        <f>IF(B99="","",IFERROR(VLOOKUP(B99,'🏦 PRÊTS'!A:C,3,0),"?"))</f>
        <v/>
      </c>
      <c r="E99" s="26" t="str">
        <f>IF(B99="","",IFERROR(VLOOKUP(B99,'🏦 PRÊTS'!A:D,4,0),"?"))</f>
        <v/>
      </c>
      <c r="F99" s="36"/>
      <c r="G99" s="36"/>
      <c r="H99" s="36"/>
      <c r="I99" s="36"/>
      <c r="J99" s="23" t="str">
        <f>IF(B99="","",IFERROR(VLOOKUP(B99,'🏦 PRÊTS'!A:Q,17,0),""))</f>
        <v/>
      </c>
      <c r="K99" s="28" t="str">
        <f t="shared" si="2"/>
        <v>—</v>
      </c>
      <c r="L99" s="36"/>
    </row>
    <row r="100" spans="1:12" ht="19.5" customHeight="1" x14ac:dyDescent="0.3">
      <c r="A100" s="38" t="s">
        <v>307</v>
      </c>
      <c r="B100" s="32"/>
      <c r="C100" s="25" t="str">
        <f>IF(B100="","",IFERROR(VLOOKUP(B100,'🏦 PRÊTS'!A:B,2,0),"?"))</f>
        <v/>
      </c>
      <c r="D100" s="18" t="str">
        <f>IF(B100="","",IFERROR(VLOOKUP(B100,'🏦 PRÊTS'!A:C,3,0),"?"))</f>
        <v/>
      </c>
      <c r="E100" s="18" t="str">
        <f>IF(B100="","",IFERROR(VLOOKUP(B100,'🏦 PRÊTS'!A:D,4,0),"?"))</f>
        <v/>
      </c>
      <c r="F100" s="32"/>
      <c r="G100" s="32"/>
      <c r="H100" s="32"/>
      <c r="I100" s="32"/>
      <c r="J100" s="23" t="str">
        <f>IF(B100="","",IFERROR(VLOOKUP(B100,'🏦 PRÊTS'!A:Q,17,0),""))</f>
        <v/>
      </c>
      <c r="K100" s="25" t="str">
        <f t="shared" ref="K100:K131" si="3">IF(J100="","—",IF(J100=0,"✅ Soldé","🔄 Partiel"))</f>
        <v>—</v>
      </c>
      <c r="L100" s="32"/>
    </row>
    <row r="101" spans="1:12" ht="19.5" customHeight="1" x14ac:dyDescent="0.3">
      <c r="A101" s="38" t="s">
        <v>308</v>
      </c>
      <c r="B101" s="36"/>
      <c r="C101" s="28" t="str">
        <f>IF(B101="","",IFERROR(VLOOKUP(B101,'🏦 PRÊTS'!A:B,2,0),"?"))</f>
        <v/>
      </c>
      <c r="D101" s="26" t="str">
        <f>IF(B101="","",IFERROR(VLOOKUP(B101,'🏦 PRÊTS'!A:C,3,0),"?"))</f>
        <v/>
      </c>
      <c r="E101" s="26" t="str">
        <f>IF(B101="","",IFERROR(VLOOKUP(B101,'🏦 PRÊTS'!A:D,4,0),"?"))</f>
        <v/>
      </c>
      <c r="F101" s="36"/>
      <c r="G101" s="36"/>
      <c r="H101" s="36"/>
      <c r="I101" s="36"/>
      <c r="J101" s="23" t="str">
        <f>IF(B101="","",IFERROR(VLOOKUP(B101,'🏦 PRÊTS'!A:Q,17,0),""))</f>
        <v/>
      </c>
      <c r="K101" s="28" t="str">
        <f t="shared" si="3"/>
        <v>—</v>
      </c>
      <c r="L101" s="36"/>
    </row>
    <row r="102" spans="1:12" ht="19.5" customHeight="1" x14ac:dyDescent="0.3">
      <c r="A102" s="38" t="s">
        <v>309</v>
      </c>
      <c r="B102" s="32"/>
      <c r="C102" s="25" t="str">
        <f>IF(B102="","",IFERROR(VLOOKUP(B102,'🏦 PRÊTS'!A:B,2,0),"?"))</f>
        <v/>
      </c>
      <c r="D102" s="18" t="str">
        <f>IF(B102="","",IFERROR(VLOOKUP(B102,'🏦 PRÊTS'!A:C,3,0),"?"))</f>
        <v/>
      </c>
      <c r="E102" s="18" t="str">
        <f>IF(B102="","",IFERROR(VLOOKUP(B102,'🏦 PRÊTS'!A:D,4,0),"?"))</f>
        <v/>
      </c>
      <c r="F102" s="32"/>
      <c r="G102" s="32"/>
      <c r="H102" s="32"/>
      <c r="I102" s="32"/>
      <c r="J102" s="23" t="str">
        <f>IF(B102="","",IFERROR(VLOOKUP(B102,'🏦 PRÊTS'!A:Q,17,0),""))</f>
        <v/>
      </c>
      <c r="K102" s="25" t="str">
        <f t="shared" si="3"/>
        <v>—</v>
      </c>
      <c r="L102" s="32"/>
    </row>
    <row r="103" spans="1:12" ht="19.5" customHeight="1" x14ac:dyDescent="0.3">
      <c r="A103" s="38" t="s">
        <v>310</v>
      </c>
      <c r="B103" s="36"/>
      <c r="C103" s="28" t="str">
        <f>IF(B103="","",IFERROR(VLOOKUP(B103,'🏦 PRÊTS'!A:B,2,0),"?"))</f>
        <v/>
      </c>
      <c r="D103" s="26" t="str">
        <f>IF(B103="","",IFERROR(VLOOKUP(B103,'🏦 PRÊTS'!A:C,3,0),"?"))</f>
        <v/>
      </c>
      <c r="E103" s="26" t="str">
        <f>IF(B103="","",IFERROR(VLOOKUP(B103,'🏦 PRÊTS'!A:D,4,0),"?"))</f>
        <v/>
      </c>
      <c r="F103" s="36"/>
      <c r="G103" s="36"/>
      <c r="H103" s="36"/>
      <c r="I103" s="36"/>
      <c r="J103" s="23" t="str">
        <f>IF(B103="","",IFERROR(VLOOKUP(B103,'🏦 PRÊTS'!A:Q,17,0),""))</f>
        <v/>
      </c>
      <c r="K103" s="28" t="str">
        <f t="shared" si="3"/>
        <v>—</v>
      </c>
      <c r="L103" s="36"/>
    </row>
    <row r="104" spans="1:12" ht="19.5" customHeight="1" x14ac:dyDescent="0.3">
      <c r="A104" s="38" t="s">
        <v>311</v>
      </c>
      <c r="B104" s="32"/>
      <c r="C104" s="25" t="str">
        <f>IF(B104="","",IFERROR(VLOOKUP(B104,'🏦 PRÊTS'!A:B,2,0),"?"))</f>
        <v/>
      </c>
      <c r="D104" s="18" t="str">
        <f>IF(B104="","",IFERROR(VLOOKUP(B104,'🏦 PRÊTS'!A:C,3,0),"?"))</f>
        <v/>
      </c>
      <c r="E104" s="18" t="str">
        <f>IF(B104="","",IFERROR(VLOOKUP(B104,'🏦 PRÊTS'!A:D,4,0),"?"))</f>
        <v/>
      </c>
      <c r="F104" s="32"/>
      <c r="G104" s="32"/>
      <c r="H104" s="32"/>
      <c r="I104" s="32"/>
      <c r="J104" s="23" t="str">
        <f>IF(B104="","",IFERROR(VLOOKUP(B104,'🏦 PRÊTS'!A:Q,17,0),""))</f>
        <v/>
      </c>
      <c r="K104" s="25" t="str">
        <f t="shared" si="3"/>
        <v>—</v>
      </c>
      <c r="L104" s="32"/>
    </row>
    <row r="105" spans="1:12" ht="19.5" customHeight="1" x14ac:dyDescent="0.3">
      <c r="A105" s="38" t="s">
        <v>312</v>
      </c>
      <c r="B105" s="36"/>
      <c r="C105" s="28" t="str">
        <f>IF(B105="","",IFERROR(VLOOKUP(B105,'🏦 PRÊTS'!A:B,2,0),"?"))</f>
        <v/>
      </c>
      <c r="D105" s="26" t="str">
        <f>IF(B105="","",IFERROR(VLOOKUP(B105,'🏦 PRÊTS'!A:C,3,0),"?"))</f>
        <v/>
      </c>
      <c r="E105" s="26" t="str">
        <f>IF(B105="","",IFERROR(VLOOKUP(B105,'🏦 PRÊTS'!A:D,4,0),"?"))</f>
        <v/>
      </c>
      <c r="F105" s="36"/>
      <c r="G105" s="36"/>
      <c r="H105" s="36"/>
      <c r="I105" s="36"/>
      <c r="J105" s="23" t="str">
        <f>IF(B105="","",IFERROR(VLOOKUP(B105,'🏦 PRÊTS'!A:Q,17,0),""))</f>
        <v/>
      </c>
      <c r="K105" s="28" t="str">
        <f t="shared" si="3"/>
        <v>—</v>
      </c>
      <c r="L105" s="36"/>
    </row>
    <row r="106" spans="1:12" ht="19.5" customHeight="1" x14ac:dyDescent="0.3">
      <c r="A106" s="38" t="s">
        <v>313</v>
      </c>
      <c r="B106" s="32"/>
      <c r="C106" s="25" t="str">
        <f>IF(B106="","",IFERROR(VLOOKUP(B106,'🏦 PRÊTS'!A:B,2,0),"?"))</f>
        <v/>
      </c>
      <c r="D106" s="18" t="str">
        <f>IF(B106="","",IFERROR(VLOOKUP(B106,'🏦 PRÊTS'!A:C,3,0),"?"))</f>
        <v/>
      </c>
      <c r="E106" s="18" t="str">
        <f>IF(B106="","",IFERROR(VLOOKUP(B106,'🏦 PRÊTS'!A:D,4,0),"?"))</f>
        <v/>
      </c>
      <c r="F106" s="32"/>
      <c r="G106" s="32"/>
      <c r="H106" s="32"/>
      <c r="I106" s="32"/>
      <c r="J106" s="23" t="str">
        <f>IF(B106="","",IFERROR(VLOOKUP(B106,'🏦 PRÊTS'!A:Q,17,0),""))</f>
        <v/>
      </c>
      <c r="K106" s="25" t="str">
        <f t="shared" si="3"/>
        <v>—</v>
      </c>
      <c r="L106" s="32"/>
    </row>
    <row r="107" spans="1:12" ht="19.5" customHeight="1" x14ac:dyDescent="0.3">
      <c r="A107" s="38" t="s">
        <v>314</v>
      </c>
      <c r="B107" s="36"/>
      <c r="C107" s="28" t="str">
        <f>IF(B107="","",IFERROR(VLOOKUP(B107,'🏦 PRÊTS'!A:B,2,0),"?"))</f>
        <v/>
      </c>
      <c r="D107" s="26" t="str">
        <f>IF(B107="","",IFERROR(VLOOKUP(B107,'🏦 PRÊTS'!A:C,3,0),"?"))</f>
        <v/>
      </c>
      <c r="E107" s="26" t="str">
        <f>IF(B107="","",IFERROR(VLOOKUP(B107,'🏦 PRÊTS'!A:D,4,0),"?"))</f>
        <v/>
      </c>
      <c r="F107" s="36"/>
      <c r="G107" s="36"/>
      <c r="H107" s="36"/>
      <c r="I107" s="36"/>
      <c r="J107" s="23" t="str">
        <f>IF(B107="","",IFERROR(VLOOKUP(B107,'🏦 PRÊTS'!A:Q,17,0),""))</f>
        <v/>
      </c>
      <c r="K107" s="28" t="str">
        <f t="shared" si="3"/>
        <v>—</v>
      </c>
      <c r="L107" s="36"/>
    </row>
    <row r="108" spans="1:12" ht="19.5" customHeight="1" x14ac:dyDescent="0.3">
      <c r="A108" s="38" t="s">
        <v>315</v>
      </c>
      <c r="B108" s="32"/>
      <c r="C108" s="25" t="str">
        <f>IF(B108="","",IFERROR(VLOOKUP(B108,'🏦 PRÊTS'!A:B,2,0),"?"))</f>
        <v/>
      </c>
      <c r="D108" s="18" t="str">
        <f>IF(B108="","",IFERROR(VLOOKUP(B108,'🏦 PRÊTS'!A:C,3,0),"?"))</f>
        <v/>
      </c>
      <c r="E108" s="18" t="str">
        <f>IF(B108="","",IFERROR(VLOOKUP(B108,'🏦 PRÊTS'!A:D,4,0),"?"))</f>
        <v/>
      </c>
      <c r="F108" s="32"/>
      <c r="G108" s="32"/>
      <c r="H108" s="32"/>
      <c r="I108" s="32"/>
      <c r="J108" s="23" t="str">
        <f>IF(B108="","",IFERROR(VLOOKUP(B108,'🏦 PRÊTS'!A:Q,17,0),""))</f>
        <v/>
      </c>
      <c r="K108" s="25" t="str">
        <f t="shared" si="3"/>
        <v>—</v>
      </c>
      <c r="L108" s="32"/>
    </row>
    <row r="109" spans="1:12" ht="19.5" customHeight="1" x14ac:dyDescent="0.3">
      <c r="A109" s="38" t="s">
        <v>316</v>
      </c>
      <c r="B109" s="36"/>
      <c r="C109" s="28" t="str">
        <f>IF(B109="","",IFERROR(VLOOKUP(B109,'🏦 PRÊTS'!A:B,2,0),"?"))</f>
        <v/>
      </c>
      <c r="D109" s="26" t="str">
        <f>IF(B109="","",IFERROR(VLOOKUP(B109,'🏦 PRÊTS'!A:C,3,0),"?"))</f>
        <v/>
      </c>
      <c r="E109" s="26" t="str">
        <f>IF(B109="","",IFERROR(VLOOKUP(B109,'🏦 PRÊTS'!A:D,4,0),"?"))</f>
        <v/>
      </c>
      <c r="F109" s="36"/>
      <c r="G109" s="36"/>
      <c r="H109" s="36"/>
      <c r="I109" s="36"/>
      <c r="J109" s="23" t="str">
        <f>IF(B109="","",IFERROR(VLOOKUP(B109,'🏦 PRÊTS'!A:Q,17,0),""))</f>
        <v/>
      </c>
      <c r="K109" s="28" t="str">
        <f t="shared" si="3"/>
        <v>—</v>
      </c>
      <c r="L109" s="36"/>
    </row>
    <row r="110" spans="1:12" ht="19.5" customHeight="1" x14ac:dyDescent="0.3">
      <c r="A110" s="38" t="s">
        <v>317</v>
      </c>
      <c r="B110" s="32"/>
      <c r="C110" s="25" t="str">
        <f>IF(B110="","",IFERROR(VLOOKUP(B110,'🏦 PRÊTS'!A:B,2,0),"?"))</f>
        <v/>
      </c>
      <c r="D110" s="18" t="str">
        <f>IF(B110="","",IFERROR(VLOOKUP(B110,'🏦 PRÊTS'!A:C,3,0),"?"))</f>
        <v/>
      </c>
      <c r="E110" s="18" t="str">
        <f>IF(B110="","",IFERROR(VLOOKUP(B110,'🏦 PRÊTS'!A:D,4,0),"?"))</f>
        <v/>
      </c>
      <c r="F110" s="32"/>
      <c r="G110" s="32"/>
      <c r="H110" s="32"/>
      <c r="I110" s="32"/>
      <c r="J110" s="23" t="str">
        <f>IF(B110="","",IFERROR(VLOOKUP(B110,'🏦 PRÊTS'!A:Q,17,0),""))</f>
        <v/>
      </c>
      <c r="K110" s="25" t="str">
        <f t="shared" si="3"/>
        <v>—</v>
      </c>
      <c r="L110" s="32"/>
    </row>
    <row r="111" spans="1:12" ht="19.5" customHeight="1" x14ac:dyDescent="0.3">
      <c r="A111" s="38" t="s">
        <v>318</v>
      </c>
      <c r="B111" s="36"/>
      <c r="C111" s="28" t="str">
        <f>IF(B111="","",IFERROR(VLOOKUP(B111,'🏦 PRÊTS'!A:B,2,0),"?"))</f>
        <v/>
      </c>
      <c r="D111" s="26" t="str">
        <f>IF(B111="","",IFERROR(VLOOKUP(B111,'🏦 PRÊTS'!A:C,3,0),"?"))</f>
        <v/>
      </c>
      <c r="E111" s="26" t="str">
        <f>IF(B111="","",IFERROR(VLOOKUP(B111,'🏦 PRÊTS'!A:D,4,0),"?"))</f>
        <v/>
      </c>
      <c r="F111" s="36"/>
      <c r="G111" s="36"/>
      <c r="H111" s="36"/>
      <c r="I111" s="36"/>
      <c r="J111" s="23" t="str">
        <f>IF(B111="","",IFERROR(VLOOKUP(B111,'🏦 PRÊTS'!A:Q,17,0),""))</f>
        <v/>
      </c>
      <c r="K111" s="28" t="str">
        <f t="shared" si="3"/>
        <v>—</v>
      </c>
      <c r="L111" s="36"/>
    </row>
    <row r="112" spans="1:12" ht="19.5" customHeight="1" x14ac:dyDescent="0.3">
      <c r="A112" s="38" t="s">
        <v>319</v>
      </c>
      <c r="B112" s="32"/>
      <c r="C112" s="25" t="str">
        <f>IF(B112="","",IFERROR(VLOOKUP(B112,'🏦 PRÊTS'!A:B,2,0),"?"))</f>
        <v/>
      </c>
      <c r="D112" s="18" t="str">
        <f>IF(B112="","",IFERROR(VLOOKUP(B112,'🏦 PRÊTS'!A:C,3,0),"?"))</f>
        <v/>
      </c>
      <c r="E112" s="18" t="str">
        <f>IF(B112="","",IFERROR(VLOOKUP(B112,'🏦 PRÊTS'!A:D,4,0),"?"))</f>
        <v/>
      </c>
      <c r="F112" s="32"/>
      <c r="G112" s="32"/>
      <c r="H112" s="32"/>
      <c r="I112" s="32"/>
      <c r="J112" s="23" t="str">
        <f>IF(B112="","",IFERROR(VLOOKUP(B112,'🏦 PRÊTS'!A:Q,17,0),""))</f>
        <v/>
      </c>
      <c r="K112" s="25" t="str">
        <f t="shared" si="3"/>
        <v>—</v>
      </c>
      <c r="L112" s="32"/>
    </row>
    <row r="113" spans="1:12" ht="19.5" customHeight="1" x14ac:dyDescent="0.3">
      <c r="A113" s="38" t="s">
        <v>320</v>
      </c>
      <c r="B113" s="36"/>
      <c r="C113" s="28" t="str">
        <f>IF(B113="","",IFERROR(VLOOKUP(B113,'🏦 PRÊTS'!A:B,2,0),"?"))</f>
        <v/>
      </c>
      <c r="D113" s="26" t="str">
        <f>IF(B113="","",IFERROR(VLOOKUP(B113,'🏦 PRÊTS'!A:C,3,0),"?"))</f>
        <v/>
      </c>
      <c r="E113" s="26" t="str">
        <f>IF(B113="","",IFERROR(VLOOKUP(B113,'🏦 PRÊTS'!A:D,4,0),"?"))</f>
        <v/>
      </c>
      <c r="F113" s="36"/>
      <c r="G113" s="36"/>
      <c r="H113" s="36"/>
      <c r="I113" s="36"/>
      <c r="J113" s="23" t="str">
        <f>IF(B113="","",IFERROR(VLOOKUP(B113,'🏦 PRÊTS'!A:Q,17,0),""))</f>
        <v/>
      </c>
      <c r="K113" s="28" t="str">
        <f t="shared" si="3"/>
        <v>—</v>
      </c>
      <c r="L113" s="36"/>
    </row>
    <row r="114" spans="1:12" ht="19.5" customHeight="1" x14ac:dyDescent="0.3">
      <c r="A114" s="38" t="s">
        <v>321</v>
      </c>
      <c r="B114" s="32"/>
      <c r="C114" s="25" t="str">
        <f>IF(B114="","",IFERROR(VLOOKUP(B114,'🏦 PRÊTS'!A:B,2,0),"?"))</f>
        <v/>
      </c>
      <c r="D114" s="18" t="str">
        <f>IF(B114="","",IFERROR(VLOOKUP(B114,'🏦 PRÊTS'!A:C,3,0),"?"))</f>
        <v/>
      </c>
      <c r="E114" s="18" t="str">
        <f>IF(B114="","",IFERROR(VLOOKUP(B114,'🏦 PRÊTS'!A:D,4,0),"?"))</f>
        <v/>
      </c>
      <c r="F114" s="32"/>
      <c r="G114" s="32"/>
      <c r="H114" s="32"/>
      <c r="I114" s="32"/>
      <c r="J114" s="23" t="str">
        <f>IF(B114="","",IFERROR(VLOOKUP(B114,'🏦 PRÊTS'!A:Q,17,0),""))</f>
        <v/>
      </c>
      <c r="K114" s="25" t="str">
        <f t="shared" si="3"/>
        <v>—</v>
      </c>
      <c r="L114" s="32"/>
    </row>
    <row r="115" spans="1:12" ht="19.5" customHeight="1" x14ac:dyDescent="0.3">
      <c r="A115" s="38" t="s">
        <v>322</v>
      </c>
      <c r="B115" s="36"/>
      <c r="C115" s="28" t="str">
        <f>IF(B115="","",IFERROR(VLOOKUP(B115,'🏦 PRÊTS'!A:B,2,0),"?"))</f>
        <v/>
      </c>
      <c r="D115" s="26" t="str">
        <f>IF(B115="","",IFERROR(VLOOKUP(B115,'🏦 PRÊTS'!A:C,3,0),"?"))</f>
        <v/>
      </c>
      <c r="E115" s="26" t="str">
        <f>IF(B115="","",IFERROR(VLOOKUP(B115,'🏦 PRÊTS'!A:D,4,0),"?"))</f>
        <v/>
      </c>
      <c r="F115" s="36"/>
      <c r="G115" s="36"/>
      <c r="H115" s="36"/>
      <c r="I115" s="36"/>
      <c r="J115" s="23" t="str">
        <f>IF(B115="","",IFERROR(VLOOKUP(B115,'🏦 PRÊTS'!A:Q,17,0),""))</f>
        <v/>
      </c>
      <c r="K115" s="28" t="str">
        <f t="shared" si="3"/>
        <v>—</v>
      </c>
      <c r="L115" s="36"/>
    </row>
    <row r="116" spans="1:12" ht="19.5" customHeight="1" x14ac:dyDescent="0.3">
      <c r="A116" s="38" t="s">
        <v>323</v>
      </c>
      <c r="B116" s="32"/>
      <c r="C116" s="25" t="str">
        <f>IF(B116="","",IFERROR(VLOOKUP(B116,'🏦 PRÊTS'!A:B,2,0),"?"))</f>
        <v/>
      </c>
      <c r="D116" s="18" t="str">
        <f>IF(B116="","",IFERROR(VLOOKUP(B116,'🏦 PRÊTS'!A:C,3,0),"?"))</f>
        <v/>
      </c>
      <c r="E116" s="18" t="str">
        <f>IF(B116="","",IFERROR(VLOOKUP(B116,'🏦 PRÊTS'!A:D,4,0),"?"))</f>
        <v/>
      </c>
      <c r="F116" s="32"/>
      <c r="G116" s="32"/>
      <c r="H116" s="32"/>
      <c r="I116" s="32"/>
      <c r="J116" s="23" t="str">
        <f>IF(B116="","",IFERROR(VLOOKUP(B116,'🏦 PRÊTS'!A:Q,17,0),""))</f>
        <v/>
      </c>
      <c r="K116" s="25" t="str">
        <f t="shared" si="3"/>
        <v>—</v>
      </c>
      <c r="L116" s="32"/>
    </row>
    <row r="117" spans="1:12" ht="19.5" customHeight="1" x14ac:dyDescent="0.3">
      <c r="A117" s="38" t="s">
        <v>324</v>
      </c>
      <c r="B117" s="36"/>
      <c r="C117" s="28" t="str">
        <f>IF(B117="","",IFERROR(VLOOKUP(B117,'🏦 PRÊTS'!A:B,2,0),"?"))</f>
        <v/>
      </c>
      <c r="D117" s="26" t="str">
        <f>IF(B117="","",IFERROR(VLOOKUP(B117,'🏦 PRÊTS'!A:C,3,0),"?"))</f>
        <v/>
      </c>
      <c r="E117" s="26" t="str">
        <f>IF(B117="","",IFERROR(VLOOKUP(B117,'🏦 PRÊTS'!A:D,4,0),"?"))</f>
        <v/>
      </c>
      <c r="F117" s="36"/>
      <c r="G117" s="36"/>
      <c r="H117" s="36"/>
      <c r="I117" s="36"/>
      <c r="J117" s="23" t="str">
        <f>IF(B117="","",IFERROR(VLOOKUP(B117,'🏦 PRÊTS'!A:Q,17,0),""))</f>
        <v/>
      </c>
      <c r="K117" s="28" t="str">
        <f t="shared" si="3"/>
        <v>—</v>
      </c>
      <c r="L117" s="36"/>
    </row>
    <row r="118" spans="1:12" ht="19.5" customHeight="1" x14ac:dyDescent="0.3">
      <c r="A118" s="38" t="s">
        <v>325</v>
      </c>
      <c r="B118" s="32"/>
      <c r="C118" s="25" t="str">
        <f>IF(B118="","",IFERROR(VLOOKUP(B118,'🏦 PRÊTS'!A:B,2,0),"?"))</f>
        <v/>
      </c>
      <c r="D118" s="18" t="str">
        <f>IF(B118="","",IFERROR(VLOOKUP(B118,'🏦 PRÊTS'!A:C,3,0),"?"))</f>
        <v/>
      </c>
      <c r="E118" s="18" t="str">
        <f>IF(B118="","",IFERROR(VLOOKUP(B118,'🏦 PRÊTS'!A:D,4,0),"?"))</f>
        <v/>
      </c>
      <c r="F118" s="32"/>
      <c r="G118" s="32"/>
      <c r="H118" s="32"/>
      <c r="I118" s="32"/>
      <c r="J118" s="23" t="str">
        <f>IF(B118="","",IFERROR(VLOOKUP(B118,'🏦 PRÊTS'!A:Q,17,0),""))</f>
        <v/>
      </c>
      <c r="K118" s="25" t="str">
        <f t="shared" si="3"/>
        <v>—</v>
      </c>
      <c r="L118" s="32"/>
    </row>
    <row r="119" spans="1:12" ht="19.5" customHeight="1" x14ac:dyDescent="0.3">
      <c r="A119" s="38" t="s">
        <v>326</v>
      </c>
      <c r="B119" s="36"/>
      <c r="C119" s="28" t="str">
        <f>IF(B119="","",IFERROR(VLOOKUP(B119,'🏦 PRÊTS'!A:B,2,0),"?"))</f>
        <v/>
      </c>
      <c r="D119" s="26" t="str">
        <f>IF(B119="","",IFERROR(VLOOKUP(B119,'🏦 PRÊTS'!A:C,3,0),"?"))</f>
        <v/>
      </c>
      <c r="E119" s="26" t="str">
        <f>IF(B119="","",IFERROR(VLOOKUP(B119,'🏦 PRÊTS'!A:D,4,0),"?"))</f>
        <v/>
      </c>
      <c r="F119" s="36"/>
      <c r="G119" s="36"/>
      <c r="H119" s="36"/>
      <c r="I119" s="36"/>
      <c r="J119" s="23" t="str">
        <f>IF(B119="","",IFERROR(VLOOKUP(B119,'🏦 PRÊTS'!A:Q,17,0),""))</f>
        <v/>
      </c>
      <c r="K119" s="28" t="str">
        <f t="shared" si="3"/>
        <v>—</v>
      </c>
      <c r="L119" s="36"/>
    </row>
    <row r="120" spans="1:12" ht="19.5" customHeight="1" x14ac:dyDescent="0.3">
      <c r="A120" s="38" t="s">
        <v>327</v>
      </c>
      <c r="B120" s="32"/>
      <c r="C120" s="25" t="str">
        <f>IF(B120="","",IFERROR(VLOOKUP(B120,'🏦 PRÊTS'!A:B,2,0),"?"))</f>
        <v/>
      </c>
      <c r="D120" s="18" t="str">
        <f>IF(B120="","",IFERROR(VLOOKUP(B120,'🏦 PRÊTS'!A:C,3,0),"?"))</f>
        <v/>
      </c>
      <c r="E120" s="18" t="str">
        <f>IF(B120="","",IFERROR(VLOOKUP(B120,'🏦 PRÊTS'!A:D,4,0),"?"))</f>
        <v/>
      </c>
      <c r="F120" s="32"/>
      <c r="G120" s="32"/>
      <c r="H120" s="32"/>
      <c r="I120" s="32"/>
      <c r="J120" s="23" t="str">
        <f>IF(B120="","",IFERROR(VLOOKUP(B120,'🏦 PRÊTS'!A:Q,17,0),""))</f>
        <v/>
      </c>
      <c r="K120" s="25" t="str">
        <f t="shared" si="3"/>
        <v>—</v>
      </c>
      <c r="L120" s="32"/>
    </row>
    <row r="121" spans="1:12" ht="19.5" customHeight="1" x14ac:dyDescent="0.3">
      <c r="A121" s="38" t="s">
        <v>328</v>
      </c>
      <c r="B121" s="36"/>
      <c r="C121" s="28" t="str">
        <f>IF(B121="","",IFERROR(VLOOKUP(B121,'🏦 PRÊTS'!A:B,2,0),"?"))</f>
        <v/>
      </c>
      <c r="D121" s="26" t="str">
        <f>IF(B121="","",IFERROR(VLOOKUP(B121,'🏦 PRÊTS'!A:C,3,0),"?"))</f>
        <v/>
      </c>
      <c r="E121" s="26" t="str">
        <f>IF(B121="","",IFERROR(VLOOKUP(B121,'🏦 PRÊTS'!A:D,4,0),"?"))</f>
        <v/>
      </c>
      <c r="F121" s="36"/>
      <c r="G121" s="36"/>
      <c r="H121" s="36"/>
      <c r="I121" s="36"/>
      <c r="J121" s="23" t="str">
        <f>IF(B121="","",IFERROR(VLOOKUP(B121,'🏦 PRÊTS'!A:Q,17,0),""))</f>
        <v/>
      </c>
      <c r="K121" s="28" t="str">
        <f t="shared" si="3"/>
        <v>—</v>
      </c>
      <c r="L121" s="36"/>
    </row>
    <row r="122" spans="1:12" ht="19.5" customHeight="1" x14ac:dyDescent="0.3">
      <c r="A122" s="38" t="s">
        <v>329</v>
      </c>
      <c r="B122" s="32"/>
      <c r="C122" s="25" t="str">
        <f>IF(B122="","",IFERROR(VLOOKUP(B122,'🏦 PRÊTS'!A:B,2,0),"?"))</f>
        <v/>
      </c>
      <c r="D122" s="18" t="str">
        <f>IF(B122="","",IFERROR(VLOOKUP(B122,'🏦 PRÊTS'!A:C,3,0),"?"))</f>
        <v/>
      </c>
      <c r="E122" s="18" t="str">
        <f>IF(B122="","",IFERROR(VLOOKUP(B122,'🏦 PRÊTS'!A:D,4,0),"?"))</f>
        <v/>
      </c>
      <c r="F122" s="32"/>
      <c r="G122" s="32"/>
      <c r="H122" s="32"/>
      <c r="I122" s="32"/>
      <c r="J122" s="23" t="str">
        <f>IF(B122="","",IFERROR(VLOOKUP(B122,'🏦 PRÊTS'!A:Q,17,0),""))</f>
        <v/>
      </c>
      <c r="K122" s="25" t="str">
        <f t="shared" si="3"/>
        <v>—</v>
      </c>
      <c r="L122" s="32"/>
    </row>
    <row r="123" spans="1:12" ht="19.5" customHeight="1" x14ac:dyDescent="0.3">
      <c r="A123" s="38" t="s">
        <v>330</v>
      </c>
      <c r="B123" s="36"/>
      <c r="C123" s="28" t="str">
        <f>IF(B123="","",IFERROR(VLOOKUP(B123,'🏦 PRÊTS'!A:B,2,0),"?"))</f>
        <v/>
      </c>
      <c r="D123" s="26" t="str">
        <f>IF(B123="","",IFERROR(VLOOKUP(B123,'🏦 PRÊTS'!A:C,3,0),"?"))</f>
        <v/>
      </c>
      <c r="E123" s="26" t="str">
        <f>IF(B123="","",IFERROR(VLOOKUP(B123,'🏦 PRÊTS'!A:D,4,0),"?"))</f>
        <v/>
      </c>
      <c r="F123" s="36"/>
      <c r="G123" s="36"/>
      <c r="H123" s="36"/>
      <c r="I123" s="36"/>
      <c r="J123" s="23" t="str">
        <f>IF(B123="","",IFERROR(VLOOKUP(B123,'🏦 PRÊTS'!A:Q,17,0),""))</f>
        <v/>
      </c>
      <c r="K123" s="28" t="str">
        <f t="shared" si="3"/>
        <v>—</v>
      </c>
      <c r="L123" s="36"/>
    </row>
    <row r="124" spans="1:12" ht="19.5" customHeight="1" x14ac:dyDescent="0.3">
      <c r="A124" s="38" t="s">
        <v>331</v>
      </c>
      <c r="B124" s="32"/>
      <c r="C124" s="25" t="str">
        <f>IF(B124="","",IFERROR(VLOOKUP(B124,'🏦 PRÊTS'!A:B,2,0),"?"))</f>
        <v/>
      </c>
      <c r="D124" s="18" t="str">
        <f>IF(B124="","",IFERROR(VLOOKUP(B124,'🏦 PRÊTS'!A:C,3,0),"?"))</f>
        <v/>
      </c>
      <c r="E124" s="18" t="str">
        <f>IF(B124="","",IFERROR(VLOOKUP(B124,'🏦 PRÊTS'!A:D,4,0),"?"))</f>
        <v/>
      </c>
      <c r="F124" s="32"/>
      <c r="G124" s="32"/>
      <c r="H124" s="32"/>
      <c r="I124" s="32"/>
      <c r="J124" s="23" t="str">
        <f>IF(B124="","",IFERROR(VLOOKUP(B124,'🏦 PRÊTS'!A:Q,17,0),""))</f>
        <v/>
      </c>
      <c r="K124" s="25" t="str">
        <f t="shared" si="3"/>
        <v>—</v>
      </c>
      <c r="L124" s="32"/>
    </row>
    <row r="125" spans="1:12" ht="19.5" customHeight="1" x14ac:dyDescent="0.3">
      <c r="A125" s="38" t="s">
        <v>332</v>
      </c>
      <c r="B125" s="36"/>
      <c r="C125" s="28" t="str">
        <f>IF(B125="","",IFERROR(VLOOKUP(B125,'🏦 PRÊTS'!A:B,2,0),"?"))</f>
        <v/>
      </c>
      <c r="D125" s="26" t="str">
        <f>IF(B125="","",IFERROR(VLOOKUP(B125,'🏦 PRÊTS'!A:C,3,0),"?"))</f>
        <v/>
      </c>
      <c r="E125" s="26" t="str">
        <f>IF(B125="","",IFERROR(VLOOKUP(B125,'🏦 PRÊTS'!A:D,4,0),"?"))</f>
        <v/>
      </c>
      <c r="F125" s="36"/>
      <c r="G125" s="36"/>
      <c r="H125" s="36"/>
      <c r="I125" s="36"/>
      <c r="J125" s="23" t="str">
        <f>IF(B125="","",IFERROR(VLOOKUP(B125,'🏦 PRÊTS'!A:Q,17,0),""))</f>
        <v/>
      </c>
      <c r="K125" s="28" t="str">
        <f t="shared" si="3"/>
        <v>—</v>
      </c>
      <c r="L125" s="36"/>
    </row>
    <row r="126" spans="1:12" ht="19.5" customHeight="1" x14ac:dyDescent="0.3">
      <c r="A126" s="38" t="s">
        <v>333</v>
      </c>
      <c r="B126" s="32"/>
      <c r="C126" s="25" t="str">
        <f>IF(B126="","",IFERROR(VLOOKUP(B126,'🏦 PRÊTS'!A:B,2,0),"?"))</f>
        <v/>
      </c>
      <c r="D126" s="18" t="str">
        <f>IF(B126="","",IFERROR(VLOOKUP(B126,'🏦 PRÊTS'!A:C,3,0),"?"))</f>
        <v/>
      </c>
      <c r="E126" s="18" t="str">
        <f>IF(B126="","",IFERROR(VLOOKUP(B126,'🏦 PRÊTS'!A:D,4,0),"?"))</f>
        <v/>
      </c>
      <c r="F126" s="32"/>
      <c r="G126" s="32"/>
      <c r="H126" s="32"/>
      <c r="I126" s="32"/>
      <c r="J126" s="23" t="str">
        <f>IF(B126="","",IFERROR(VLOOKUP(B126,'🏦 PRÊTS'!A:Q,17,0),""))</f>
        <v/>
      </c>
      <c r="K126" s="25" t="str">
        <f t="shared" si="3"/>
        <v>—</v>
      </c>
      <c r="L126" s="32"/>
    </row>
    <row r="127" spans="1:12" ht="19.5" customHeight="1" x14ac:dyDescent="0.3">
      <c r="A127" s="38" t="s">
        <v>334</v>
      </c>
      <c r="B127" s="36"/>
      <c r="C127" s="28" t="str">
        <f>IF(B127="","",IFERROR(VLOOKUP(B127,'🏦 PRÊTS'!A:B,2,0),"?"))</f>
        <v/>
      </c>
      <c r="D127" s="26" t="str">
        <f>IF(B127="","",IFERROR(VLOOKUP(B127,'🏦 PRÊTS'!A:C,3,0),"?"))</f>
        <v/>
      </c>
      <c r="E127" s="26" t="str">
        <f>IF(B127="","",IFERROR(VLOOKUP(B127,'🏦 PRÊTS'!A:D,4,0),"?"))</f>
        <v/>
      </c>
      <c r="F127" s="36"/>
      <c r="G127" s="36"/>
      <c r="H127" s="36"/>
      <c r="I127" s="36"/>
      <c r="J127" s="23" t="str">
        <f>IF(B127="","",IFERROR(VLOOKUP(B127,'🏦 PRÊTS'!A:Q,17,0),""))</f>
        <v/>
      </c>
      <c r="K127" s="28" t="str">
        <f t="shared" si="3"/>
        <v>—</v>
      </c>
      <c r="L127" s="36"/>
    </row>
    <row r="128" spans="1:12" ht="19.5" customHeight="1" x14ac:dyDescent="0.3">
      <c r="A128" s="38" t="s">
        <v>335</v>
      </c>
      <c r="B128" s="32"/>
      <c r="C128" s="25" t="str">
        <f>IF(B128="","",IFERROR(VLOOKUP(B128,'🏦 PRÊTS'!A:B,2,0),"?"))</f>
        <v/>
      </c>
      <c r="D128" s="18" t="str">
        <f>IF(B128="","",IFERROR(VLOOKUP(B128,'🏦 PRÊTS'!A:C,3,0),"?"))</f>
        <v/>
      </c>
      <c r="E128" s="18" t="str">
        <f>IF(B128="","",IFERROR(VLOOKUP(B128,'🏦 PRÊTS'!A:D,4,0),"?"))</f>
        <v/>
      </c>
      <c r="F128" s="32"/>
      <c r="G128" s="32"/>
      <c r="H128" s="32"/>
      <c r="I128" s="32"/>
      <c r="J128" s="23" t="str">
        <f>IF(B128="","",IFERROR(VLOOKUP(B128,'🏦 PRÊTS'!A:Q,17,0),""))</f>
        <v/>
      </c>
      <c r="K128" s="25" t="str">
        <f t="shared" si="3"/>
        <v>—</v>
      </c>
      <c r="L128" s="32"/>
    </row>
    <row r="129" spans="1:12" ht="19.5" customHeight="1" x14ac:dyDescent="0.3">
      <c r="A129" s="38" t="s">
        <v>336</v>
      </c>
      <c r="B129" s="36"/>
      <c r="C129" s="28" t="str">
        <f>IF(B129="","",IFERROR(VLOOKUP(B129,'🏦 PRÊTS'!A:B,2,0),"?"))</f>
        <v/>
      </c>
      <c r="D129" s="26" t="str">
        <f>IF(B129="","",IFERROR(VLOOKUP(B129,'🏦 PRÊTS'!A:C,3,0),"?"))</f>
        <v/>
      </c>
      <c r="E129" s="26" t="str">
        <f>IF(B129="","",IFERROR(VLOOKUP(B129,'🏦 PRÊTS'!A:D,4,0),"?"))</f>
        <v/>
      </c>
      <c r="F129" s="36"/>
      <c r="G129" s="36"/>
      <c r="H129" s="36"/>
      <c r="I129" s="36"/>
      <c r="J129" s="23" t="str">
        <f>IF(B129="","",IFERROR(VLOOKUP(B129,'🏦 PRÊTS'!A:Q,17,0),""))</f>
        <v/>
      </c>
      <c r="K129" s="28" t="str">
        <f t="shared" si="3"/>
        <v>—</v>
      </c>
      <c r="L129" s="36"/>
    </row>
    <row r="130" spans="1:12" ht="19.5" customHeight="1" x14ac:dyDescent="0.3">
      <c r="A130" s="38" t="s">
        <v>337</v>
      </c>
      <c r="B130" s="32"/>
      <c r="C130" s="25" t="str">
        <f>IF(B130="","",IFERROR(VLOOKUP(B130,'🏦 PRÊTS'!A:B,2,0),"?"))</f>
        <v/>
      </c>
      <c r="D130" s="18" t="str">
        <f>IF(B130="","",IFERROR(VLOOKUP(B130,'🏦 PRÊTS'!A:C,3,0),"?"))</f>
        <v/>
      </c>
      <c r="E130" s="18" t="str">
        <f>IF(B130="","",IFERROR(VLOOKUP(B130,'🏦 PRÊTS'!A:D,4,0),"?"))</f>
        <v/>
      </c>
      <c r="F130" s="32"/>
      <c r="G130" s="32"/>
      <c r="H130" s="32"/>
      <c r="I130" s="32"/>
      <c r="J130" s="23" t="str">
        <f>IF(B130="","",IFERROR(VLOOKUP(B130,'🏦 PRÊTS'!A:Q,17,0),""))</f>
        <v/>
      </c>
      <c r="K130" s="25" t="str">
        <f t="shared" si="3"/>
        <v>—</v>
      </c>
      <c r="L130" s="32"/>
    </row>
    <row r="131" spans="1:12" ht="19.5" customHeight="1" x14ac:dyDescent="0.3">
      <c r="A131" s="38" t="s">
        <v>338</v>
      </c>
      <c r="B131" s="36"/>
      <c r="C131" s="28" t="str">
        <f>IF(B131="","",IFERROR(VLOOKUP(B131,'🏦 PRÊTS'!A:B,2,0),"?"))</f>
        <v/>
      </c>
      <c r="D131" s="26" t="str">
        <f>IF(B131="","",IFERROR(VLOOKUP(B131,'🏦 PRÊTS'!A:C,3,0),"?"))</f>
        <v/>
      </c>
      <c r="E131" s="26" t="str">
        <f>IF(B131="","",IFERROR(VLOOKUP(B131,'🏦 PRÊTS'!A:D,4,0),"?"))</f>
        <v/>
      </c>
      <c r="F131" s="36"/>
      <c r="G131" s="36"/>
      <c r="H131" s="36"/>
      <c r="I131" s="36"/>
      <c r="J131" s="23" t="str">
        <f>IF(B131="","",IFERROR(VLOOKUP(B131,'🏦 PRÊTS'!A:Q,17,0),""))</f>
        <v/>
      </c>
      <c r="K131" s="28" t="str">
        <f t="shared" si="3"/>
        <v>—</v>
      </c>
      <c r="L131" s="36"/>
    </row>
    <row r="132" spans="1:12" ht="19.5" customHeight="1" x14ac:dyDescent="0.3">
      <c r="A132" s="38" t="s">
        <v>339</v>
      </c>
      <c r="B132" s="32"/>
      <c r="C132" s="25" t="str">
        <f>IF(B132="","",IFERROR(VLOOKUP(B132,'🏦 PRÊTS'!A:B,2,0),"?"))</f>
        <v/>
      </c>
      <c r="D132" s="18" t="str">
        <f>IF(B132="","",IFERROR(VLOOKUP(B132,'🏦 PRÊTS'!A:C,3,0),"?"))</f>
        <v/>
      </c>
      <c r="E132" s="18" t="str">
        <f>IF(B132="","",IFERROR(VLOOKUP(B132,'🏦 PRÊTS'!A:D,4,0),"?"))</f>
        <v/>
      </c>
      <c r="F132" s="32"/>
      <c r="G132" s="32"/>
      <c r="H132" s="32"/>
      <c r="I132" s="32"/>
      <c r="J132" s="23" t="str">
        <f>IF(B132="","",IFERROR(VLOOKUP(B132,'🏦 PRÊTS'!A:Q,17,0),""))</f>
        <v/>
      </c>
      <c r="K132" s="25" t="str">
        <f t="shared" ref="K132:K163" si="4">IF(J132="","—",IF(J132=0,"✅ Soldé","🔄 Partiel"))</f>
        <v>—</v>
      </c>
      <c r="L132" s="32"/>
    </row>
    <row r="133" spans="1:12" ht="19.5" customHeight="1" x14ac:dyDescent="0.3">
      <c r="A133" s="38" t="s">
        <v>340</v>
      </c>
      <c r="B133" s="36"/>
      <c r="C133" s="28" t="str">
        <f>IF(B133="","",IFERROR(VLOOKUP(B133,'🏦 PRÊTS'!A:B,2,0),"?"))</f>
        <v/>
      </c>
      <c r="D133" s="26" t="str">
        <f>IF(B133="","",IFERROR(VLOOKUP(B133,'🏦 PRÊTS'!A:C,3,0),"?"))</f>
        <v/>
      </c>
      <c r="E133" s="26" t="str">
        <f>IF(B133="","",IFERROR(VLOOKUP(B133,'🏦 PRÊTS'!A:D,4,0),"?"))</f>
        <v/>
      </c>
      <c r="F133" s="36"/>
      <c r="G133" s="36"/>
      <c r="H133" s="36"/>
      <c r="I133" s="36"/>
      <c r="J133" s="23" t="str">
        <f>IF(B133="","",IFERROR(VLOOKUP(B133,'🏦 PRÊTS'!A:Q,17,0),""))</f>
        <v/>
      </c>
      <c r="K133" s="28" t="str">
        <f t="shared" si="4"/>
        <v>—</v>
      </c>
      <c r="L133" s="36"/>
    </row>
    <row r="134" spans="1:12" ht="19.5" customHeight="1" x14ac:dyDescent="0.3">
      <c r="A134" s="38" t="s">
        <v>341</v>
      </c>
      <c r="B134" s="32"/>
      <c r="C134" s="25" t="str">
        <f>IF(B134="","",IFERROR(VLOOKUP(B134,'🏦 PRÊTS'!A:B,2,0),"?"))</f>
        <v/>
      </c>
      <c r="D134" s="18" t="str">
        <f>IF(B134="","",IFERROR(VLOOKUP(B134,'🏦 PRÊTS'!A:C,3,0),"?"))</f>
        <v/>
      </c>
      <c r="E134" s="18" t="str">
        <f>IF(B134="","",IFERROR(VLOOKUP(B134,'🏦 PRÊTS'!A:D,4,0),"?"))</f>
        <v/>
      </c>
      <c r="F134" s="32"/>
      <c r="G134" s="32"/>
      <c r="H134" s="32"/>
      <c r="I134" s="32"/>
      <c r="J134" s="23" t="str">
        <f>IF(B134="","",IFERROR(VLOOKUP(B134,'🏦 PRÊTS'!A:Q,17,0),""))</f>
        <v/>
      </c>
      <c r="K134" s="25" t="str">
        <f t="shared" si="4"/>
        <v>—</v>
      </c>
      <c r="L134" s="32"/>
    </row>
    <row r="135" spans="1:12" ht="19.5" customHeight="1" x14ac:dyDescent="0.3">
      <c r="A135" s="38" t="s">
        <v>342</v>
      </c>
      <c r="B135" s="36"/>
      <c r="C135" s="28" t="str">
        <f>IF(B135="","",IFERROR(VLOOKUP(B135,'🏦 PRÊTS'!A:B,2,0),"?"))</f>
        <v/>
      </c>
      <c r="D135" s="26" t="str">
        <f>IF(B135="","",IFERROR(VLOOKUP(B135,'🏦 PRÊTS'!A:C,3,0),"?"))</f>
        <v/>
      </c>
      <c r="E135" s="26" t="str">
        <f>IF(B135="","",IFERROR(VLOOKUP(B135,'🏦 PRÊTS'!A:D,4,0),"?"))</f>
        <v/>
      </c>
      <c r="F135" s="36"/>
      <c r="G135" s="36"/>
      <c r="H135" s="36"/>
      <c r="I135" s="36"/>
      <c r="J135" s="23" t="str">
        <f>IF(B135="","",IFERROR(VLOOKUP(B135,'🏦 PRÊTS'!A:Q,17,0),""))</f>
        <v/>
      </c>
      <c r="K135" s="28" t="str">
        <f t="shared" si="4"/>
        <v>—</v>
      </c>
      <c r="L135" s="36"/>
    </row>
    <row r="136" spans="1:12" ht="19.5" customHeight="1" x14ac:dyDescent="0.3">
      <c r="A136" s="38" t="s">
        <v>343</v>
      </c>
      <c r="B136" s="32"/>
      <c r="C136" s="25" t="str">
        <f>IF(B136="","",IFERROR(VLOOKUP(B136,'🏦 PRÊTS'!A:B,2,0),"?"))</f>
        <v/>
      </c>
      <c r="D136" s="18" t="str">
        <f>IF(B136="","",IFERROR(VLOOKUP(B136,'🏦 PRÊTS'!A:C,3,0),"?"))</f>
        <v/>
      </c>
      <c r="E136" s="18" t="str">
        <f>IF(B136="","",IFERROR(VLOOKUP(B136,'🏦 PRÊTS'!A:D,4,0),"?"))</f>
        <v/>
      </c>
      <c r="F136" s="32"/>
      <c r="G136" s="32"/>
      <c r="H136" s="32"/>
      <c r="I136" s="32"/>
      <c r="J136" s="23" t="str">
        <f>IF(B136="","",IFERROR(VLOOKUP(B136,'🏦 PRÊTS'!A:Q,17,0),""))</f>
        <v/>
      </c>
      <c r="K136" s="25" t="str">
        <f t="shared" si="4"/>
        <v>—</v>
      </c>
      <c r="L136" s="32"/>
    </row>
    <row r="137" spans="1:12" ht="19.5" customHeight="1" x14ac:dyDescent="0.3">
      <c r="A137" s="38" t="s">
        <v>344</v>
      </c>
      <c r="B137" s="36"/>
      <c r="C137" s="28" t="str">
        <f>IF(B137="","",IFERROR(VLOOKUP(B137,'🏦 PRÊTS'!A:B,2,0),"?"))</f>
        <v/>
      </c>
      <c r="D137" s="26" t="str">
        <f>IF(B137="","",IFERROR(VLOOKUP(B137,'🏦 PRÊTS'!A:C,3,0),"?"))</f>
        <v/>
      </c>
      <c r="E137" s="26" t="str">
        <f>IF(B137="","",IFERROR(VLOOKUP(B137,'🏦 PRÊTS'!A:D,4,0),"?"))</f>
        <v/>
      </c>
      <c r="F137" s="36"/>
      <c r="G137" s="36"/>
      <c r="H137" s="36"/>
      <c r="I137" s="36"/>
      <c r="J137" s="23" t="str">
        <f>IF(B137="","",IFERROR(VLOOKUP(B137,'🏦 PRÊTS'!A:Q,17,0),""))</f>
        <v/>
      </c>
      <c r="K137" s="28" t="str">
        <f t="shared" si="4"/>
        <v>—</v>
      </c>
      <c r="L137" s="36"/>
    </row>
    <row r="138" spans="1:12" ht="19.5" customHeight="1" x14ac:dyDescent="0.3">
      <c r="A138" s="38" t="s">
        <v>345</v>
      </c>
      <c r="B138" s="32"/>
      <c r="C138" s="25" t="str">
        <f>IF(B138="","",IFERROR(VLOOKUP(B138,'🏦 PRÊTS'!A:B,2,0),"?"))</f>
        <v/>
      </c>
      <c r="D138" s="18" t="str">
        <f>IF(B138="","",IFERROR(VLOOKUP(B138,'🏦 PRÊTS'!A:C,3,0),"?"))</f>
        <v/>
      </c>
      <c r="E138" s="18" t="str">
        <f>IF(B138="","",IFERROR(VLOOKUP(B138,'🏦 PRÊTS'!A:D,4,0),"?"))</f>
        <v/>
      </c>
      <c r="F138" s="32"/>
      <c r="G138" s="32"/>
      <c r="H138" s="32"/>
      <c r="I138" s="32"/>
      <c r="J138" s="23" t="str">
        <f>IF(B138="","",IFERROR(VLOOKUP(B138,'🏦 PRÊTS'!A:Q,17,0),""))</f>
        <v/>
      </c>
      <c r="K138" s="25" t="str">
        <f t="shared" si="4"/>
        <v>—</v>
      </c>
      <c r="L138" s="32"/>
    </row>
    <row r="139" spans="1:12" ht="19.5" customHeight="1" x14ac:dyDescent="0.3">
      <c r="A139" s="38" t="s">
        <v>346</v>
      </c>
      <c r="B139" s="36"/>
      <c r="C139" s="28" t="str">
        <f>IF(B139="","",IFERROR(VLOOKUP(B139,'🏦 PRÊTS'!A:B,2,0),"?"))</f>
        <v/>
      </c>
      <c r="D139" s="26" t="str">
        <f>IF(B139="","",IFERROR(VLOOKUP(B139,'🏦 PRÊTS'!A:C,3,0),"?"))</f>
        <v/>
      </c>
      <c r="E139" s="26" t="str">
        <f>IF(B139="","",IFERROR(VLOOKUP(B139,'🏦 PRÊTS'!A:D,4,0),"?"))</f>
        <v/>
      </c>
      <c r="F139" s="36"/>
      <c r="G139" s="36"/>
      <c r="H139" s="36"/>
      <c r="I139" s="36"/>
      <c r="J139" s="23" t="str">
        <f>IF(B139="","",IFERROR(VLOOKUP(B139,'🏦 PRÊTS'!A:Q,17,0),""))</f>
        <v/>
      </c>
      <c r="K139" s="28" t="str">
        <f t="shared" si="4"/>
        <v>—</v>
      </c>
      <c r="L139" s="36"/>
    </row>
    <row r="140" spans="1:12" ht="19.5" customHeight="1" x14ac:dyDescent="0.3">
      <c r="A140" s="38" t="s">
        <v>347</v>
      </c>
      <c r="B140" s="32"/>
      <c r="C140" s="25" t="str">
        <f>IF(B140="","",IFERROR(VLOOKUP(B140,'🏦 PRÊTS'!A:B,2,0),"?"))</f>
        <v/>
      </c>
      <c r="D140" s="18" t="str">
        <f>IF(B140="","",IFERROR(VLOOKUP(B140,'🏦 PRÊTS'!A:C,3,0),"?"))</f>
        <v/>
      </c>
      <c r="E140" s="18" t="str">
        <f>IF(B140="","",IFERROR(VLOOKUP(B140,'🏦 PRÊTS'!A:D,4,0),"?"))</f>
        <v/>
      </c>
      <c r="F140" s="32"/>
      <c r="G140" s="32"/>
      <c r="H140" s="32"/>
      <c r="I140" s="32"/>
      <c r="J140" s="23" t="str">
        <f>IF(B140="","",IFERROR(VLOOKUP(B140,'🏦 PRÊTS'!A:Q,17,0),""))</f>
        <v/>
      </c>
      <c r="K140" s="25" t="str">
        <f t="shared" si="4"/>
        <v>—</v>
      </c>
      <c r="L140" s="32"/>
    </row>
    <row r="141" spans="1:12" ht="19.5" customHeight="1" x14ac:dyDescent="0.3">
      <c r="A141" s="38" t="s">
        <v>348</v>
      </c>
      <c r="B141" s="36"/>
      <c r="C141" s="28" t="str">
        <f>IF(B141="","",IFERROR(VLOOKUP(B141,'🏦 PRÊTS'!A:B,2,0),"?"))</f>
        <v/>
      </c>
      <c r="D141" s="26" t="str">
        <f>IF(B141="","",IFERROR(VLOOKUP(B141,'🏦 PRÊTS'!A:C,3,0),"?"))</f>
        <v/>
      </c>
      <c r="E141" s="26" t="str">
        <f>IF(B141="","",IFERROR(VLOOKUP(B141,'🏦 PRÊTS'!A:D,4,0),"?"))</f>
        <v/>
      </c>
      <c r="F141" s="36"/>
      <c r="G141" s="36"/>
      <c r="H141" s="36"/>
      <c r="I141" s="36"/>
      <c r="J141" s="23" t="str">
        <f>IF(B141="","",IFERROR(VLOOKUP(B141,'🏦 PRÊTS'!A:Q,17,0),""))</f>
        <v/>
      </c>
      <c r="K141" s="28" t="str">
        <f t="shared" si="4"/>
        <v>—</v>
      </c>
      <c r="L141" s="36"/>
    </row>
    <row r="142" spans="1:12" ht="19.5" customHeight="1" x14ac:dyDescent="0.3">
      <c r="A142" s="38" t="s">
        <v>349</v>
      </c>
      <c r="B142" s="32"/>
      <c r="C142" s="25" t="str">
        <f>IF(B142="","",IFERROR(VLOOKUP(B142,'🏦 PRÊTS'!A:B,2,0),"?"))</f>
        <v/>
      </c>
      <c r="D142" s="18" t="str">
        <f>IF(B142="","",IFERROR(VLOOKUP(B142,'🏦 PRÊTS'!A:C,3,0),"?"))</f>
        <v/>
      </c>
      <c r="E142" s="18" t="str">
        <f>IF(B142="","",IFERROR(VLOOKUP(B142,'🏦 PRÊTS'!A:D,4,0),"?"))</f>
        <v/>
      </c>
      <c r="F142" s="32"/>
      <c r="G142" s="32"/>
      <c r="H142" s="32"/>
      <c r="I142" s="32"/>
      <c r="J142" s="23" t="str">
        <f>IF(B142="","",IFERROR(VLOOKUP(B142,'🏦 PRÊTS'!A:Q,17,0),""))</f>
        <v/>
      </c>
      <c r="K142" s="25" t="str">
        <f t="shared" si="4"/>
        <v>—</v>
      </c>
      <c r="L142" s="32"/>
    </row>
    <row r="143" spans="1:12" ht="19.5" customHeight="1" x14ac:dyDescent="0.3">
      <c r="A143" s="38" t="s">
        <v>350</v>
      </c>
      <c r="B143" s="36"/>
      <c r="C143" s="28" t="str">
        <f>IF(B143="","",IFERROR(VLOOKUP(B143,'🏦 PRÊTS'!A:B,2,0),"?"))</f>
        <v/>
      </c>
      <c r="D143" s="26" t="str">
        <f>IF(B143="","",IFERROR(VLOOKUP(B143,'🏦 PRÊTS'!A:C,3,0),"?"))</f>
        <v/>
      </c>
      <c r="E143" s="26" t="str">
        <f>IF(B143="","",IFERROR(VLOOKUP(B143,'🏦 PRÊTS'!A:D,4,0),"?"))</f>
        <v/>
      </c>
      <c r="F143" s="36"/>
      <c r="G143" s="36"/>
      <c r="H143" s="36"/>
      <c r="I143" s="36"/>
      <c r="J143" s="23" t="str">
        <f>IF(B143="","",IFERROR(VLOOKUP(B143,'🏦 PRÊTS'!A:Q,17,0),""))</f>
        <v/>
      </c>
      <c r="K143" s="28" t="str">
        <f t="shared" si="4"/>
        <v>—</v>
      </c>
      <c r="L143" s="36"/>
    </row>
    <row r="144" spans="1:12" ht="19.5" customHeight="1" x14ac:dyDescent="0.3">
      <c r="A144" s="38" t="s">
        <v>351</v>
      </c>
      <c r="B144" s="32"/>
      <c r="C144" s="25" t="str">
        <f>IF(B144="","",IFERROR(VLOOKUP(B144,'🏦 PRÊTS'!A:B,2,0),"?"))</f>
        <v/>
      </c>
      <c r="D144" s="18" t="str">
        <f>IF(B144="","",IFERROR(VLOOKUP(B144,'🏦 PRÊTS'!A:C,3,0),"?"))</f>
        <v/>
      </c>
      <c r="E144" s="18" t="str">
        <f>IF(B144="","",IFERROR(VLOOKUP(B144,'🏦 PRÊTS'!A:D,4,0),"?"))</f>
        <v/>
      </c>
      <c r="F144" s="32"/>
      <c r="G144" s="32"/>
      <c r="H144" s="32"/>
      <c r="I144" s="32"/>
      <c r="J144" s="23" t="str">
        <f>IF(B144="","",IFERROR(VLOOKUP(B144,'🏦 PRÊTS'!A:Q,17,0),""))</f>
        <v/>
      </c>
      <c r="K144" s="25" t="str">
        <f t="shared" si="4"/>
        <v>—</v>
      </c>
      <c r="L144" s="32"/>
    </row>
    <row r="145" spans="1:12" ht="19.5" customHeight="1" x14ac:dyDescent="0.3">
      <c r="A145" s="38" t="s">
        <v>352</v>
      </c>
      <c r="B145" s="36"/>
      <c r="C145" s="28" t="str">
        <f>IF(B145="","",IFERROR(VLOOKUP(B145,'🏦 PRÊTS'!A:B,2,0),"?"))</f>
        <v/>
      </c>
      <c r="D145" s="26" t="str">
        <f>IF(B145="","",IFERROR(VLOOKUP(B145,'🏦 PRÊTS'!A:C,3,0),"?"))</f>
        <v/>
      </c>
      <c r="E145" s="26" t="str">
        <f>IF(B145="","",IFERROR(VLOOKUP(B145,'🏦 PRÊTS'!A:D,4,0),"?"))</f>
        <v/>
      </c>
      <c r="F145" s="36"/>
      <c r="G145" s="36"/>
      <c r="H145" s="36"/>
      <c r="I145" s="36"/>
      <c r="J145" s="23" t="str">
        <f>IF(B145="","",IFERROR(VLOOKUP(B145,'🏦 PRÊTS'!A:Q,17,0),""))</f>
        <v/>
      </c>
      <c r="K145" s="28" t="str">
        <f t="shared" si="4"/>
        <v>—</v>
      </c>
      <c r="L145" s="36"/>
    </row>
    <row r="146" spans="1:12" ht="19.5" customHeight="1" x14ac:dyDescent="0.3">
      <c r="A146" s="38" t="s">
        <v>353</v>
      </c>
      <c r="B146" s="32"/>
      <c r="C146" s="25" t="str">
        <f>IF(B146="","",IFERROR(VLOOKUP(B146,'🏦 PRÊTS'!A:B,2,0),"?"))</f>
        <v/>
      </c>
      <c r="D146" s="18" t="str">
        <f>IF(B146="","",IFERROR(VLOOKUP(B146,'🏦 PRÊTS'!A:C,3,0),"?"))</f>
        <v/>
      </c>
      <c r="E146" s="18" t="str">
        <f>IF(B146="","",IFERROR(VLOOKUP(B146,'🏦 PRÊTS'!A:D,4,0),"?"))</f>
        <v/>
      </c>
      <c r="F146" s="32"/>
      <c r="G146" s="32"/>
      <c r="H146" s="32"/>
      <c r="I146" s="32"/>
      <c r="J146" s="23" t="str">
        <f>IF(B146="","",IFERROR(VLOOKUP(B146,'🏦 PRÊTS'!A:Q,17,0),""))</f>
        <v/>
      </c>
      <c r="K146" s="25" t="str">
        <f t="shared" si="4"/>
        <v>—</v>
      </c>
      <c r="L146" s="32"/>
    </row>
    <row r="147" spans="1:12" ht="19.5" customHeight="1" x14ac:dyDescent="0.3">
      <c r="A147" s="38" t="s">
        <v>354</v>
      </c>
      <c r="B147" s="36"/>
      <c r="C147" s="28" t="str">
        <f>IF(B147="","",IFERROR(VLOOKUP(B147,'🏦 PRÊTS'!A:B,2,0),"?"))</f>
        <v/>
      </c>
      <c r="D147" s="26" t="str">
        <f>IF(B147="","",IFERROR(VLOOKUP(B147,'🏦 PRÊTS'!A:C,3,0),"?"))</f>
        <v/>
      </c>
      <c r="E147" s="26" t="str">
        <f>IF(B147="","",IFERROR(VLOOKUP(B147,'🏦 PRÊTS'!A:D,4,0),"?"))</f>
        <v/>
      </c>
      <c r="F147" s="36"/>
      <c r="G147" s="36"/>
      <c r="H147" s="36"/>
      <c r="I147" s="36"/>
      <c r="J147" s="23" t="str">
        <f>IF(B147="","",IFERROR(VLOOKUP(B147,'🏦 PRÊTS'!A:Q,17,0),""))</f>
        <v/>
      </c>
      <c r="K147" s="28" t="str">
        <f t="shared" si="4"/>
        <v>—</v>
      </c>
      <c r="L147" s="36"/>
    </row>
    <row r="148" spans="1:12" ht="19.5" customHeight="1" x14ac:dyDescent="0.3">
      <c r="A148" s="38" t="s">
        <v>355</v>
      </c>
      <c r="B148" s="32"/>
      <c r="C148" s="25" t="str">
        <f>IF(B148="","",IFERROR(VLOOKUP(B148,'🏦 PRÊTS'!A:B,2,0),"?"))</f>
        <v/>
      </c>
      <c r="D148" s="18" t="str">
        <f>IF(B148="","",IFERROR(VLOOKUP(B148,'🏦 PRÊTS'!A:C,3,0),"?"))</f>
        <v/>
      </c>
      <c r="E148" s="18" t="str">
        <f>IF(B148="","",IFERROR(VLOOKUP(B148,'🏦 PRÊTS'!A:D,4,0),"?"))</f>
        <v/>
      </c>
      <c r="F148" s="32"/>
      <c r="G148" s="32"/>
      <c r="H148" s="32"/>
      <c r="I148" s="32"/>
      <c r="J148" s="23" t="str">
        <f>IF(B148="","",IFERROR(VLOOKUP(B148,'🏦 PRÊTS'!A:Q,17,0),""))</f>
        <v/>
      </c>
      <c r="K148" s="25" t="str">
        <f t="shared" si="4"/>
        <v>—</v>
      </c>
      <c r="L148" s="32"/>
    </row>
    <row r="149" spans="1:12" ht="19.5" customHeight="1" x14ac:dyDescent="0.3">
      <c r="A149" s="38" t="s">
        <v>356</v>
      </c>
      <c r="B149" s="36"/>
      <c r="C149" s="28" t="str">
        <f>IF(B149="","",IFERROR(VLOOKUP(B149,'🏦 PRÊTS'!A:B,2,0),"?"))</f>
        <v/>
      </c>
      <c r="D149" s="26" t="str">
        <f>IF(B149="","",IFERROR(VLOOKUP(B149,'🏦 PRÊTS'!A:C,3,0),"?"))</f>
        <v/>
      </c>
      <c r="E149" s="26" t="str">
        <f>IF(B149="","",IFERROR(VLOOKUP(B149,'🏦 PRÊTS'!A:D,4,0),"?"))</f>
        <v/>
      </c>
      <c r="F149" s="36"/>
      <c r="G149" s="36"/>
      <c r="H149" s="36"/>
      <c r="I149" s="36"/>
      <c r="J149" s="23" t="str">
        <f>IF(B149="","",IFERROR(VLOOKUP(B149,'🏦 PRÊTS'!A:Q,17,0),""))</f>
        <v/>
      </c>
      <c r="K149" s="28" t="str">
        <f t="shared" si="4"/>
        <v>—</v>
      </c>
      <c r="L149" s="36"/>
    </row>
    <row r="150" spans="1:12" ht="19.5" customHeight="1" x14ac:dyDescent="0.3">
      <c r="A150" s="38" t="s">
        <v>357</v>
      </c>
      <c r="B150" s="32"/>
      <c r="C150" s="25" t="str">
        <f>IF(B150="","",IFERROR(VLOOKUP(B150,'🏦 PRÊTS'!A:B,2,0),"?"))</f>
        <v/>
      </c>
      <c r="D150" s="18" t="str">
        <f>IF(B150="","",IFERROR(VLOOKUP(B150,'🏦 PRÊTS'!A:C,3,0),"?"))</f>
        <v/>
      </c>
      <c r="E150" s="18" t="str">
        <f>IF(B150="","",IFERROR(VLOOKUP(B150,'🏦 PRÊTS'!A:D,4,0),"?"))</f>
        <v/>
      </c>
      <c r="F150" s="32"/>
      <c r="G150" s="32"/>
      <c r="H150" s="32"/>
      <c r="I150" s="32"/>
      <c r="J150" s="23" t="str">
        <f>IF(B150="","",IFERROR(VLOOKUP(B150,'🏦 PRÊTS'!A:Q,17,0),""))</f>
        <v/>
      </c>
      <c r="K150" s="25" t="str">
        <f t="shared" si="4"/>
        <v>—</v>
      </c>
      <c r="L150" s="32"/>
    </row>
    <row r="151" spans="1:12" ht="19.5" customHeight="1" x14ac:dyDescent="0.3">
      <c r="A151" s="38" t="s">
        <v>358</v>
      </c>
      <c r="B151" s="36"/>
      <c r="C151" s="28" t="str">
        <f>IF(B151="","",IFERROR(VLOOKUP(B151,'🏦 PRÊTS'!A:B,2,0),"?"))</f>
        <v/>
      </c>
      <c r="D151" s="26" t="str">
        <f>IF(B151="","",IFERROR(VLOOKUP(B151,'🏦 PRÊTS'!A:C,3,0),"?"))</f>
        <v/>
      </c>
      <c r="E151" s="26" t="str">
        <f>IF(B151="","",IFERROR(VLOOKUP(B151,'🏦 PRÊTS'!A:D,4,0),"?"))</f>
        <v/>
      </c>
      <c r="F151" s="36"/>
      <c r="G151" s="36"/>
      <c r="H151" s="36"/>
      <c r="I151" s="36"/>
      <c r="J151" s="23" t="str">
        <f>IF(B151="","",IFERROR(VLOOKUP(B151,'🏦 PRÊTS'!A:Q,17,0),""))</f>
        <v/>
      </c>
      <c r="K151" s="28" t="str">
        <f t="shared" si="4"/>
        <v>—</v>
      </c>
      <c r="L151" s="36"/>
    </row>
    <row r="152" spans="1:12" ht="19.5" customHeight="1" x14ac:dyDescent="0.3">
      <c r="A152" s="38" t="s">
        <v>359</v>
      </c>
      <c r="B152" s="32"/>
      <c r="C152" s="25" t="str">
        <f>IF(B152="","",IFERROR(VLOOKUP(B152,'🏦 PRÊTS'!A:B,2,0),"?"))</f>
        <v/>
      </c>
      <c r="D152" s="18" t="str">
        <f>IF(B152="","",IFERROR(VLOOKUP(B152,'🏦 PRÊTS'!A:C,3,0),"?"))</f>
        <v/>
      </c>
      <c r="E152" s="18" t="str">
        <f>IF(B152="","",IFERROR(VLOOKUP(B152,'🏦 PRÊTS'!A:D,4,0),"?"))</f>
        <v/>
      </c>
      <c r="F152" s="32"/>
      <c r="G152" s="32"/>
      <c r="H152" s="32"/>
      <c r="I152" s="32"/>
      <c r="J152" s="23" t="str">
        <f>IF(B152="","",IFERROR(VLOOKUP(B152,'🏦 PRÊTS'!A:Q,17,0),""))</f>
        <v/>
      </c>
      <c r="K152" s="25" t="str">
        <f t="shared" si="4"/>
        <v>—</v>
      </c>
      <c r="L152" s="32"/>
    </row>
    <row r="153" spans="1:12" ht="19.5" customHeight="1" x14ac:dyDescent="0.3">
      <c r="A153" s="38" t="s">
        <v>360</v>
      </c>
      <c r="B153" s="36"/>
      <c r="C153" s="28" t="str">
        <f>IF(B153="","",IFERROR(VLOOKUP(B153,'🏦 PRÊTS'!A:B,2,0),"?"))</f>
        <v/>
      </c>
      <c r="D153" s="26" t="str">
        <f>IF(B153="","",IFERROR(VLOOKUP(B153,'🏦 PRÊTS'!A:C,3,0),"?"))</f>
        <v/>
      </c>
      <c r="E153" s="26" t="str">
        <f>IF(B153="","",IFERROR(VLOOKUP(B153,'🏦 PRÊTS'!A:D,4,0),"?"))</f>
        <v/>
      </c>
      <c r="F153" s="36"/>
      <c r="G153" s="36"/>
      <c r="H153" s="36"/>
      <c r="I153" s="36"/>
      <c r="J153" s="23" t="str">
        <f>IF(B153="","",IFERROR(VLOOKUP(B153,'🏦 PRÊTS'!A:Q,17,0),""))</f>
        <v/>
      </c>
      <c r="K153" s="28" t="str">
        <f t="shared" si="4"/>
        <v>—</v>
      </c>
      <c r="L153" s="36"/>
    </row>
    <row r="154" spans="1:12" ht="19.5" customHeight="1" x14ac:dyDescent="0.3">
      <c r="A154" s="38" t="s">
        <v>361</v>
      </c>
      <c r="B154" s="32"/>
      <c r="C154" s="25" t="str">
        <f>IF(B154="","",IFERROR(VLOOKUP(B154,'🏦 PRÊTS'!A:B,2,0),"?"))</f>
        <v/>
      </c>
      <c r="D154" s="18" t="str">
        <f>IF(B154="","",IFERROR(VLOOKUP(B154,'🏦 PRÊTS'!A:C,3,0),"?"))</f>
        <v/>
      </c>
      <c r="E154" s="18" t="str">
        <f>IF(B154="","",IFERROR(VLOOKUP(B154,'🏦 PRÊTS'!A:D,4,0),"?"))</f>
        <v/>
      </c>
      <c r="F154" s="32"/>
      <c r="G154" s="32"/>
      <c r="H154" s="32"/>
      <c r="I154" s="32"/>
      <c r="J154" s="23" t="str">
        <f>IF(B154="","",IFERROR(VLOOKUP(B154,'🏦 PRÊTS'!A:Q,17,0),""))</f>
        <v/>
      </c>
      <c r="K154" s="25" t="str">
        <f t="shared" si="4"/>
        <v>—</v>
      </c>
      <c r="L154" s="32"/>
    </row>
    <row r="155" spans="1:12" ht="19.5" customHeight="1" x14ac:dyDescent="0.3">
      <c r="A155" s="38" t="s">
        <v>362</v>
      </c>
      <c r="B155" s="36"/>
      <c r="C155" s="28" t="str">
        <f>IF(B155="","",IFERROR(VLOOKUP(B155,'🏦 PRÊTS'!A:B,2,0),"?"))</f>
        <v/>
      </c>
      <c r="D155" s="26" t="str">
        <f>IF(B155="","",IFERROR(VLOOKUP(B155,'🏦 PRÊTS'!A:C,3,0),"?"))</f>
        <v/>
      </c>
      <c r="E155" s="26" t="str">
        <f>IF(B155="","",IFERROR(VLOOKUP(B155,'🏦 PRÊTS'!A:D,4,0),"?"))</f>
        <v/>
      </c>
      <c r="F155" s="36"/>
      <c r="G155" s="36"/>
      <c r="H155" s="36"/>
      <c r="I155" s="36"/>
      <c r="J155" s="23" t="str">
        <f>IF(B155="","",IFERROR(VLOOKUP(B155,'🏦 PRÊTS'!A:Q,17,0),""))</f>
        <v/>
      </c>
      <c r="K155" s="28" t="str">
        <f t="shared" si="4"/>
        <v>—</v>
      </c>
      <c r="L155" s="36"/>
    </row>
    <row r="156" spans="1:12" ht="19.5" customHeight="1" x14ac:dyDescent="0.3">
      <c r="A156" s="38" t="s">
        <v>363</v>
      </c>
      <c r="B156" s="32"/>
      <c r="C156" s="25" t="str">
        <f>IF(B156="","",IFERROR(VLOOKUP(B156,'🏦 PRÊTS'!A:B,2,0),"?"))</f>
        <v/>
      </c>
      <c r="D156" s="18" t="str">
        <f>IF(B156="","",IFERROR(VLOOKUP(B156,'🏦 PRÊTS'!A:C,3,0),"?"))</f>
        <v/>
      </c>
      <c r="E156" s="18" t="str">
        <f>IF(B156="","",IFERROR(VLOOKUP(B156,'🏦 PRÊTS'!A:D,4,0),"?"))</f>
        <v/>
      </c>
      <c r="F156" s="32"/>
      <c r="G156" s="32"/>
      <c r="H156" s="32"/>
      <c r="I156" s="32"/>
      <c r="J156" s="23" t="str">
        <f>IF(B156="","",IFERROR(VLOOKUP(B156,'🏦 PRÊTS'!A:Q,17,0),""))</f>
        <v/>
      </c>
      <c r="K156" s="25" t="str">
        <f t="shared" si="4"/>
        <v>—</v>
      </c>
      <c r="L156" s="32"/>
    </row>
    <row r="157" spans="1:12" ht="19.5" customHeight="1" x14ac:dyDescent="0.3">
      <c r="A157" s="38" t="s">
        <v>364</v>
      </c>
      <c r="B157" s="36"/>
      <c r="C157" s="28" t="str">
        <f>IF(B157="","",IFERROR(VLOOKUP(B157,'🏦 PRÊTS'!A:B,2,0),"?"))</f>
        <v/>
      </c>
      <c r="D157" s="26" t="str">
        <f>IF(B157="","",IFERROR(VLOOKUP(B157,'🏦 PRÊTS'!A:C,3,0),"?"))</f>
        <v/>
      </c>
      <c r="E157" s="26" t="str">
        <f>IF(B157="","",IFERROR(VLOOKUP(B157,'🏦 PRÊTS'!A:D,4,0),"?"))</f>
        <v/>
      </c>
      <c r="F157" s="36"/>
      <c r="G157" s="36"/>
      <c r="H157" s="36"/>
      <c r="I157" s="36"/>
      <c r="J157" s="23" t="str">
        <f>IF(B157="","",IFERROR(VLOOKUP(B157,'🏦 PRÊTS'!A:Q,17,0),""))</f>
        <v/>
      </c>
      <c r="K157" s="28" t="str">
        <f t="shared" si="4"/>
        <v>—</v>
      </c>
      <c r="L157" s="36"/>
    </row>
    <row r="158" spans="1:12" ht="19.5" customHeight="1" x14ac:dyDescent="0.3">
      <c r="A158" s="38" t="s">
        <v>365</v>
      </c>
      <c r="B158" s="32"/>
      <c r="C158" s="25" t="str">
        <f>IF(B158="","",IFERROR(VLOOKUP(B158,'🏦 PRÊTS'!A:B,2,0),"?"))</f>
        <v/>
      </c>
      <c r="D158" s="18" t="str">
        <f>IF(B158="","",IFERROR(VLOOKUP(B158,'🏦 PRÊTS'!A:C,3,0),"?"))</f>
        <v/>
      </c>
      <c r="E158" s="18" t="str">
        <f>IF(B158="","",IFERROR(VLOOKUP(B158,'🏦 PRÊTS'!A:D,4,0),"?"))</f>
        <v/>
      </c>
      <c r="F158" s="32"/>
      <c r="G158" s="32"/>
      <c r="H158" s="32"/>
      <c r="I158" s="32"/>
      <c r="J158" s="23" t="str">
        <f>IF(B158="","",IFERROR(VLOOKUP(B158,'🏦 PRÊTS'!A:Q,17,0),""))</f>
        <v/>
      </c>
      <c r="K158" s="25" t="str">
        <f t="shared" si="4"/>
        <v>—</v>
      </c>
      <c r="L158" s="32"/>
    </row>
    <row r="159" spans="1:12" ht="19.5" customHeight="1" x14ac:dyDescent="0.3">
      <c r="A159" s="38" t="s">
        <v>366</v>
      </c>
      <c r="B159" s="36"/>
      <c r="C159" s="28" t="str">
        <f>IF(B159="","",IFERROR(VLOOKUP(B159,'🏦 PRÊTS'!A:B,2,0),"?"))</f>
        <v/>
      </c>
      <c r="D159" s="26" t="str">
        <f>IF(B159="","",IFERROR(VLOOKUP(B159,'🏦 PRÊTS'!A:C,3,0),"?"))</f>
        <v/>
      </c>
      <c r="E159" s="26" t="str">
        <f>IF(B159="","",IFERROR(VLOOKUP(B159,'🏦 PRÊTS'!A:D,4,0),"?"))</f>
        <v/>
      </c>
      <c r="F159" s="36"/>
      <c r="G159" s="36"/>
      <c r="H159" s="36"/>
      <c r="I159" s="36"/>
      <c r="J159" s="23" t="str">
        <f>IF(B159="","",IFERROR(VLOOKUP(B159,'🏦 PRÊTS'!A:Q,17,0),""))</f>
        <v/>
      </c>
      <c r="K159" s="28" t="str">
        <f t="shared" si="4"/>
        <v>—</v>
      </c>
      <c r="L159" s="36"/>
    </row>
    <row r="160" spans="1:12" ht="19.5" customHeight="1" x14ac:dyDescent="0.3">
      <c r="A160" s="38" t="s">
        <v>367</v>
      </c>
      <c r="B160" s="32"/>
      <c r="C160" s="25" t="str">
        <f>IF(B160="","",IFERROR(VLOOKUP(B160,'🏦 PRÊTS'!A:B,2,0),"?"))</f>
        <v/>
      </c>
      <c r="D160" s="18" t="str">
        <f>IF(B160="","",IFERROR(VLOOKUP(B160,'🏦 PRÊTS'!A:C,3,0),"?"))</f>
        <v/>
      </c>
      <c r="E160" s="18" t="str">
        <f>IF(B160="","",IFERROR(VLOOKUP(B160,'🏦 PRÊTS'!A:D,4,0),"?"))</f>
        <v/>
      </c>
      <c r="F160" s="32"/>
      <c r="G160" s="32"/>
      <c r="H160" s="32"/>
      <c r="I160" s="32"/>
      <c r="J160" s="23" t="str">
        <f>IF(B160="","",IFERROR(VLOOKUP(B160,'🏦 PRÊTS'!A:Q,17,0),""))</f>
        <v/>
      </c>
      <c r="K160" s="25" t="str">
        <f t="shared" si="4"/>
        <v>—</v>
      </c>
      <c r="L160" s="32"/>
    </row>
    <row r="161" spans="1:12" ht="19.5" customHeight="1" x14ac:dyDescent="0.3">
      <c r="A161" s="38" t="s">
        <v>368</v>
      </c>
      <c r="B161" s="36"/>
      <c r="C161" s="28" t="str">
        <f>IF(B161="","",IFERROR(VLOOKUP(B161,'🏦 PRÊTS'!A:B,2,0),"?"))</f>
        <v/>
      </c>
      <c r="D161" s="26" t="str">
        <f>IF(B161="","",IFERROR(VLOOKUP(B161,'🏦 PRÊTS'!A:C,3,0),"?"))</f>
        <v/>
      </c>
      <c r="E161" s="26" t="str">
        <f>IF(B161="","",IFERROR(VLOOKUP(B161,'🏦 PRÊTS'!A:D,4,0),"?"))</f>
        <v/>
      </c>
      <c r="F161" s="36"/>
      <c r="G161" s="36"/>
      <c r="H161" s="36"/>
      <c r="I161" s="36"/>
      <c r="J161" s="23" t="str">
        <f>IF(B161="","",IFERROR(VLOOKUP(B161,'🏦 PRÊTS'!A:Q,17,0),""))</f>
        <v/>
      </c>
      <c r="K161" s="28" t="str">
        <f t="shared" si="4"/>
        <v>—</v>
      </c>
      <c r="L161" s="36"/>
    </row>
    <row r="162" spans="1:12" ht="19.5" customHeight="1" x14ac:dyDescent="0.3">
      <c r="A162" s="38" t="s">
        <v>369</v>
      </c>
      <c r="B162" s="32"/>
      <c r="C162" s="25" t="str">
        <f>IF(B162="","",IFERROR(VLOOKUP(B162,'🏦 PRÊTS'!A:B,2,0),"?"))</f>
        <v/>
      </c>
      <c r="D162" s="18" t="str">
        <f>IF(B162="","",IFERROR(VLOOKUP(B162,'🏦 PRÊTS'!A:C,3,0),"?"))</f>
        <v/>
      </c>
      <c r="E162" s="18" t="str">
        <f>IF(B162="","",IFERROR(VLOOKUP(B162,'🏦 PRÊTS'!A:D,4,0),"?"))</f>
        <v/>
      </c>
      <c r="F162" s="32"/>
      <c r="G162" s="32"/>
      <c r="H162" s="32"/>
      <c r="I162" s="32"/>
      <c r="J162" s="23" t="str">
        <f>IF(B162="","",IFERROR(VLOOKUP(B162,'🏦 PRÊTS'!A:Q,17,0),""))</f>
        <v/>
      </c>
      <c r="K162" s="25" t="str">
        <f t="shared" si="4"/>
        <v>—</v>
      </c>
      <c r="L162" s="32"/>
    </row>
    <row r="163" spans="1:12" ht="19.5" customHeight="1" x14ac:dyDescent="0.3">
      <c r="A163" s="38" t="s">
        <v>370</v>
      </c>
      <c r="B163" s="36"/>
      <c r="C163" s="28" t="str">
        <f>IF(B163="","",IFERROR(VLOOKUP(B163,'🏦 PRÊTS'!A:B,2,0),"?"))</f>
        <v/>
      </c>
      <c r="D163" s="26" t="str">
        <f>IF(B163="","",IFERROR(VLOOKUP(B163,'🏦 PRÊTS'!A:C,3,0),"?"))</f>
        <v/>
      </c>
      <c r="E163" s="26" t="str">
        <f>IF(B163="","",IFERROR(VLOOKUP(B163,'🏦 PRÊTS'!A:D,4,0),"?"))</f>
        <v/>
      </c>
      <c r="F163" s="36"/>
      <c r="G163" s="36"/>
      <c r="H163" s="36"/>
      <c r="I163" s="36"/>
      <c r="J163" s="23" t="str">
        <f>IF(B163="","",IFERROR(VLOOKUP(B163,'🏦 PRÊTS'!A:Q,17,0),""))</f>
        <v/>
      </c>
      <c r="K163" s="28" t="str">
        <f t="shared" si="4"/>
        <v>—</v>
      </c>
      <c r="L163" s="36"/>
    </row>
    <row r="164" spans="1:12" ht="19.5" customHeight="1" x14ac:dyDescent="0.3">
      <c r="A164" s="38" t="s">
        <v>371</v>
      </c>
      <c r="B164" s="32"/>
      <c r="C164" s="25" t="str">
        <f>IF(B164="","",IFERROR(VLOOKUP(B164,'🏦 PRÊTS'!A:B,2,0),"?"))</f>
        <v/>
      </c>
      <c r="D164" s="18" t="str">
        <f>IF(B164="","",IFERROR(VLOOKUP(B164,'🏦 PRÊTS'!A:C,3,0),"?"))</f>
        <v/>
      </c>
      <c r="E164" s="18" t="str">
        <f>IF(B164="","",IFERROR(VLOOKUP(B164,'🏦 PRÊTS'!A:D,4,0),"?"))</f>
        <v/>
      </c>
      <c r="F164" s="32"/>
      <c r="G164" s="32"/>
      <c r="H164" s="32"/>
      <c r="I164" s="32"/>
      <c r="J164" s="23" t="str">
        <f>IF(B164="","",IFERROR(VLOOKUP(B164,'🏦 PRÊTS'!A:Q,17,0),""))</f>
        <v/>
      </c>
      <c r="K164" s="25" t="str">
        <f t="shared" ref="K164:K195" si="5">IF(J164="","—",IF(J164=0,"✅ Soldé","🔄 Partiel"))</f>
        <v>—</v>
      </c>
      <c r="L164" s="32"/>
    </row>
    <row r="165" spans="1:12" ht="19.5" customHeight="1" x14ac:dyDescent="0.3">
      <c r="A165" s="38" t="s">
        <v>372</v>
      </c>
      <c r="B165" s="36"/>
      <c r="C165" s="28" t="str">
        <f>IF(B165="","",IFERROR(VLOOKUP(B165,'🏦 PRÊTS'!A:B,2,0),"?"))</f>
        <v/>
      </c>
      <c r="D165" s="26" t="str">
        <f>IF(B165="","",IFERROR(VLOOKUP(B165,'🏦 PRÊTS'!A:C,3,0),"?"))</f>
        <v/>
      </c>
      <c r="E165" s="26" t="str">
        <f>IF(B165="","",IFERROR(VLOOKUP(B165,'🏦 PRÊTS'!A:D,4,0),"?"))</f>
        <v/>
      </c>
      <c r="F165" s="36"/>
      <c r="G165" s="36"/>
      <c r="H165" s="36"/>
      <c r="I165" s="36"/>
      <c r="J165" s="23" t="str">
        <f>IF(B165="","",IFERROR(VLOOKUP(B165,'🏦 PRÊTS'!A:Q,17,0),""))</f>
        <v/>
      </c>
      <c r="K165" s="28" t="str">
        <f t="shared" si="5"/>
        <v>—</v>
      </c>
      <c r="L165" s="36"/>
    </row>
    <row r="166" spans="1:12" ht="19.5" customHeight="1" x14ac:dyDescent="0.3">
      <c r="A166" s="38" t="s">
        <v>373</v>
      </c>
      <c r="B166" s="32"/>
      <c r="C166" s="25" t="str">
        <f>IF(B166="","",IFERROR(VLOOKUP(B166,'🏦 PRÊTS'!A:B,2,0),"?"))</f>
        <v/>
      </c>
      <c r="D166" s="18" t="str">
        <f>IF(B166="","",IFERROR(VLOOKUP(B166,'🏦 PRÊTS'!A:C,3,0),"?"))</f>
        <v/>
      </c>
      <c r="E166" s="18" t="str">
        <f>IF(B166="","",IFERROR(VLOOKUP(B166,'🏦 PRÊTS'!A:D,4,0),"?"))</f>
        <v/>
      </c>
      <c r="F166" s="32"/>
      <c r="G166" s="32"/>
      <c r="H166" s="32"/>
      <c r="I166" s="32"/>
      <c r="J166" s="23" t="str">
        <f>IF(B166="","",IFERROR(VLOOKUP(B166,'🏦 PRÊTS'!A:Q,17,0),""))</f>
        <v/>
      </c>
      <c r="K166" s="25" t="str">
        <f t="shared" si="5"/>
        <v>—</v>
      </c>
      <c r="L166" s="32"/>
    </row>
    <row r="167" spans="1:12" ht="19.5" customHeight="1" x14ac:dyDescent="0.3">
      <c r="A167" s="38" t="s">
        <v>374</v>
      </c>
      <c r="B167" s="36"/>
      <c r="C167" s="28" t="str">
        <f>IF(B167="","",IFERROR(VLOOKUP(B167,'🏦 PRÊTS'!A:B,2,0),"?"))</f>
        <v/>
      </c>
      <c r="D167" s="26" t="str">
        <f>IF(B167="","",IFERROR(VLOOKUP(B167,'🏦 PRÊTS'!A:C,3,0),"?"))</f>
        <v/>
      </c>
      <c r="E167" s="26" t="str">
        <f>IF(B167="","",IFERROR(VLOOKUP(B167,'🏦 PRÊTS'!A:D,4,0),"?"))</f>
        <v/>
      </c>
      <c r="F167" s="36"/>
      <c r="G167" s="36"/>
      <c r="H167" s="36"/>
      <c r="I167" s="36"/>
      <c r="J167" s="23" t="str">
        <f>IF(B167="","",IFERROR(VLOOKUP(B167,'🏦 PRÊTS'!A:Q,17,0),""))</f>
        <v/>
      </c>
      <c r="K167" s="28" t="str">
        <f t="shared" si="5"/>
        <v>—</v>
      </c>
      <c r="L167" s="36"/>
    </row>
    <row r="168" spans="1:12" ht="19.5" customHeight="1" x14ac:dyDescent="0.3">
      <c r="A168" s="38" t="s">
        <v>375</v>
      </c>
      <c r="B168" s="32"/>
      <c r="C168" s="25" t="str">
        <f>IF(B168="","",IFERROR(VLOOKUP(B168,'🏦 PRÊTS'!A:B,2,0),"?"))</f>
        <v/>
      </c>
      <c r="D168" s="18" t="str">
        <f>IF(B168="","",IFERROR(VLOOKUP(B168,'🏦 PRÊTS'!A:C,3,0),"?"))</f>
        <v/>
      </c>
      <c r="E168" s="18" t="str">
        <f>IF(B168="","",IFERROR(VLOOKUP(B168,'🏦 PRÊTS'!A:D,4,0),"?"))</f>
        <v/>
      </c>
      <c r="F168" s="32"/>
      <c r="G168" s="32"/>
      <c r="H168" s="32"/>
      <c r="I168" s="32"/>
      <c r="J168" s="23" t="str">
        <f>IF(B168="","",IFERROR(VLOOKUP(B168,'🏦 PRÊTS'!A:Q,17,0),""))</f>
        <v/>
      </c>
      <c r="K168" s="25" t="str">
        <f t="shared" si="5"/>
        <v>—</v>
      </c>
      <c r="L168" s="32"/>
    </row>
    <row r="169" spans="1:12" ht="19.5" customHeight="1" x14ac:dyDescent="0.3">
      <c r="A169" s="38" t="s">
        <v>376</v>
      </c>
      <c r="B169" s="36"/>
      <c r="C169" s="28" t="str">
        <f>IF(B169="","",IFERROR(VLOOKUP(B169,'🏦 PRÊTS'!A:B,2,0),"?"))</f>
        <v/>
      </c>
      <c r="D169" s="26" t="str">
        <f>IF(B169="","",IFERROR(VLOOKUP(B169,'🏦 PRÊTS'!A:C,3,0),"?"))</f>
        <v/>
      </c>
      <c r="E169" s="26" t="str">
        <f>IF(B169="","",IFERROR(VLOOKUP(B169,'🏦 PRÊTS'!A:D,4,0),"?"))</f>
        <v/>
      </c>
      <c r="F169" s="36"/>
      <c r="G169" s="36"/>
      <c r="H169" s="36"/>
      <c r="I169" s="36"/>
      <c r="J169" s="23" t="str">
        <f>IF(B169="","",IFERROR(VLOOKUP(B169,'🏦 PRÊTS'!A:Q,17,0),""))</f>
        <v/>
      </c>
      <c r="K169" s="28" t="str">
        <f t="shared" si="5"/>
        <v>—</v>
      </c>
      <c r="L169" s="36"/>
    </row>
    <row r="170" spans="1:12" ht="19.5" customHeight="1" x14ac:dyDescent="0.3">
      <c r="A170" s="38" t="s">
        <v>377</v>
      </c>
      <c r="B170" s="32"/>
      <c r="C170" s="25" t="str">
        <f>IF(B170="","",IFERROR(VLOOKUP(B170,'🏦 PRÊTS'!A:B,2,0),"?"))</f>
        <v/>
      </c>
      <c r="D170" s="18" t="str">
        <f>IF(B170="","",IFERROR(VLOOKUP(B170,'🏦 PRÊTS'!A:C,3,0),"?"))</f>
        <v/>
      </c>
      <c r="E170" s="18" t="str">
        <f>IF(B170="","",IFERROR(VLOOKUP(B170,'🏦 PRÊTS'!A:D,4,0),"?"))</f>
        <v/>
      </c>
      <c r="F170" s="32"/>
      <c r="G170" s="32"/>
      <c r="H170" s="32"/>
      <c r="I170" s="32"/>
      <c r="J170" s="23" t="str">
        <f>IF(B170="","",IFERROR(VLOOKUP(B170,'🏦 PRÊTS'!A:Q,17,0),""))</f>
        <v/>
      </c>
      <c r="K170" s="25" t="str">
        <f t="shared" si="5"/>
        <v>—</v>
      </c>
      <c r="L170" s="32"/>
    </row>
    <row r="171" spans="1:12" ht="19.5" customHeight="1" x14ac:dyDescent="0.3">
      <c r="A171" s="38" t="s">
        <v>378</v>
      </c>
      <c r="B171" s="36"/>
      <c r="C171" s="28" t="str">
        <f>IF(B171="","",IFERROR(VLOOKUP(B171,'🏦 PRÊTS'!A:B,2,0),"?"))</f>
        <v/>
      </c>
      <c r="D171" s="26" t="str">
        <f>IF(B171="","",IFERROR(VLOOKUP(B171,'🏦 PRÊTS'!A:C,3,0),"?"))</f>
        <v/>
      </c>
      <c r="E171" s="26" t="str">
        <f>IF(B171="","",IFERROR(VLOOKUP(B171,'🏦 PRÊTS'!A:D,4,0),"?"))</f>
        <v/>
      </c>
      <c r="F171" s="36"/>
      <c r="G171" s="36"/>
      <c r="H171" s="36"/>
      <c r="I171" s="36"/>
      <c r="J171" s="23" t="str">
        <f>IF(B171="","",IFERROR(VLOOKUP(B171,'🏦 PRÊTS'!A:Q,17,0),""))</f>
        <v/>
      </c>
      <c r="K171" s="28" t="str">
        <f t="shared" si="5"/>
        <v>—</v>
      </c>
      <c r="L171" s="36"/>
    </row>
    <row r="172" spans="1:12" ht="19.5" customHeight="1" x14ac:dyDescent="0.3">
      <c r="A172" s="38" t="s">
        <v>379</v>
      </c>
      <c r="B172" s="32"/>
      <c r="C172" s="25" t="str">
        <f>IF(B172="","",IFERROR(VLOOKUP(B172,'🏦 PRÊTS'!A:B,2,0),"?"))</f>
        <v/>
      </c>
      <c r="D172" s="18" t="str">
        <f>IF(B172="","",IFERROR(VLOOKUP(B172,'🏦 PRÊTS'!A:C,3,0),"?"))</f>
        <v/>
      </c>
      <c r="E172" s="18" t="str">
        <f>IF(B172="","",IFERROR(VLOOKUP(B172,'🏦 PRÊTS'!A:D,4,0),"?"))</f>
        <v/>
      </c>
      <c r="F172" s="32"/>
      <c r="G172" s="32"/>
      <c r="H172" s="32"/>
      <c r="I172" s="32"/>
      <c r="J172" s="23" t="str">
        <f>IF(B172="","",IFERROR(VLOOKUP(B172,'🏦 PRÊTS'!A:Q,17,0),""))</f>
        <v/>
      </c>
      <c r="K172" s="25" t="str">
        <f t="shared" si="5"/>
        <v>—</v>
      </c>
      <c r="L172" s="32"/>
    </row>
    <row r="173" spans="1:12" ht="19.5" customHeight="1" x14ac:dyDescent="0.3">
      <c r="A173" s="38" t="s">
        <v>380</v>
      </c>
      <c r="B173" s="36"/>
      <c r="C173" s="28" t="str">
        <f>IF(B173="","",IFERROR(VLOOKUP(B173,'🏦 PRÊTS'!A:B,2,0),"?"))</f>
        <v/>
      </c>
      <c r="D173" s="26" t="str">
        <f>IF(B173="","",IFERROR(VLOOKUP(B173,'🏦 PRÊTS'!A:C,3,0),"?"))</f>
        <v/>
      </c>
      <c r="E173" s="26" t="str">
        <f>IF(B173="","",IFERROR(VLOOKUP(B173,'🏦 PRÊTS'!A:D,4,0),"?"))</f>
        <v/>
      </c>
      <c r="F173" s="36"/>
      <c r="G173" s="36"/>
      <c r="H173" s="36"/>
      <c r="I173" s="36"/>
      <c r="J173" s="23" t="str">
        <f>IF(B173="","",IFERROR(VLOOKUP(B173,'🏦 PRÊTS'!A:Q,17,0),""))</f>
        <v/>
      </c>
      <c r="K173" s="28" t="str">
        <f t="shared" si="5"/>
        <v>—</v>
      </c>
      <c r="L173" s="36"/>
    </row>
    <row r="174" spans="1:12" ht="19.5" customHeight="1" x14ac:dyDescent="0.3">
      <c r="A174" s="38" t="s">
        <v>381</v>
      </c>
      <c r="B174" s="32"/>
      <c r="C174" s="25" t="str">
        <f>IF(B174="","",IFERROR(VLOOKUP(B174,'🏦 PRÊTS'!A:B,2,0),"?"))</f>
        <v/>
      </c>
      <c r="D174" s="18" t="str">
        <f>IF(B174="","",IFERROR(VLOOKUP(B174,'🏦 PRÊTS'!A:C,3,0),"?"))</f>
        <v/>
      </c>
      <c r="E174" s="18" t="str">
        <f>IF(B174="","",IFERROR(VLOOKUP(B174,'🏦 PRÊTS'!A:D,4,0),"?"))</f>
        <v/>
      </c>
      <c r="F174" s="32"/>
      <c r="G174" s="32"/>
      <c r="H174" s="32"/>
      <c r="I174" s="32"/>
      <c r="J174" s="23" t="str">
        <f>IF(B174="","",IFERROR(VLOOKUP(B174,'🏦 PRÊTS'!A:Q,17,0),""))</f>
        <v/>
      </c>
      <c r="K174" s="25" t="str">
        <f t="shared" si="5"/>
        <v>—</v>
      </c>
      <c r="L174" s="32"/>
    </row>
    <row r="175" spans="1:12" ht="19.5" customHeight="1" x14ac:dyDescent="0.3">
      <c r="A175" s="38" t="s">
        <v>382</v>
      </c>
      <c r="B175" s="36"/>
      <c r="C175" s="28" t="str">
        <f>IF(B175="","",IFERROR(VLOOKUP(B175,'🏦 PRÊTS'!A:B,2,0),"?"))</f>
        <v/>
      </c>
      <c r="D175" s="26" t="str">
        <f>IF(B175="","",IFERROR(VLOOKUP(B175,'🏦 PRÊTS'!A:C,3,0),"?"))</f>
        <v/>
      </c>
      <c r="E175" s="26" t="str">
        <f>IF(B175="","",IFERROR(VLOOKUP(B175,'🏦 PRÊTS'!A:D,4,0),"?"))</f>
        <v/>
      </c>
      <c r="F175" s="36"/>
      <c r="G175" s="36"/>
      <c r="H175" s="36"/>
      <c r="I175" s="36"/>
      <c r="J175" s="23" t="str">
        <f>IF(B175="","",IFERROR(VLOOKUP(B175,'🏦 PRÊTS'!A:Q,17,0),""))</f>
        <v/>
      </c>
      <c r="K175" s="28" t="str">
        <f t="shared" si="5"/>
        <v>—</v>
      </c>
      <c r="L175" s="36"/>
    </row>
    <row r="176" spans="1:12" ht="19.5" customHeight="1" x14ac:dyDescent="0.3">
      <c r="A176" s="38" t="s">
        <v>383</v>
      </c>
      <c r="B176" s="32"/>
      <c r="C176" s="25" t="str">
        <f>IF(B176="","",IFERROR(VLOOKUP(B176,'🏦 PRÊTS'!A:B,2,0),"?"))</f>
        <v/>
      </c>
      <c r="D176" s="18" t="str">
        <f>IF(B176="","",IFERROR(VLOOKUP(B176,'🏦 PRÊTS'!A:C,3,0),"?"))</f>
        <v/>
      </c>
      <c r="E176" s="18" t="str">
        <f>IF(B176="","",IFERROR(VLOOKUP(B176,'🏦 PRÊTS'!A:D,4,0),"?"))</f>
        <v/>
      </c>
      <c r="F176" s="32"/>
      <c r="G176" s="32"/>
      <c r="H176" s="32"/>
      <c r="I176" s="32"/>
      <c r="J176" s="23" t="str">
        <f>IF(B176="","",IFERROR(VLOOKUP(B176,'🏦 PRÊTS'!A:Q,17,0),""))</f>
        <v/>
      </c>
      <c r="K176" s="25" t="str">
        <f t="shared" si="5"/>
        <v>—</v>
      </c>
      <c r="L176" s="32"/>
    </row>
    <row r="177" spans="1:12" ht="19.5" customHeight="1" x14ac:dyDescent="0.3">
      <c r="A177" s="38" t="s">
        <v>384</v>
      </c>
      <c r="B177" s="36"/>
      <c r="C177" s="28" t="str">
        <f>IF(B177="","",IFERROR(VLOOKUP(B177,'🏦 PRÊTS'!A:B,2,0),"?"))</f>
        <v/>
      </c>
      <c r="D177" s="26" t="str">
        <f>IF(B177="","",IFERROR(VLOOKUP(B177,'🏦 PRÊTS'!A:C,3,0),"?"))</f>
        <v/>
      </c>
      <c r="E177" s="26" t="str">
        <f>IF(B177="","",IFERROR(VLOOKUP(B177,'🏦 PRÊTS'!A:D,4,0),"?"))</f>
        <v/>
      </c>
      <c r="F177" s="36"/>
      <c r="G177" s="36"/>
      <c r="H177" s="36"/>
      <c r="I177" s="36"/>
      <c r="J177" s="23" t="str">
        <f>IF(B177="","",IFERROR(VLOOKUP(B177,'🏦 PRÊTS'!A:Q,17,0),""))</f>
        <v/>
      </c>
      <c r="K177" s="28" t="str">
        <f t="shared" si="5"/>
        <v>—</v>
      </c>
      <c r="L177" s="36"/>
    </row>
    <row r="178" spans="1:12" ht="19.5" customHeight="1" x14ac:dyDescent="0.3">
      <c r="A178" s="38" t="s">
        <v>385</v>
      </c>
      <c r="B178" s="32"/>
      <c r="C178" s="25" t="str">
        <f>IF(B178="","",IFERROR(VLOOKUP(B178,'🏦 PRÊTS'!A:B,2,0),"?"))</f>
        <v/>
      </c>
      <c r="D178" s="18" t="str">
        <f>IF(B178="","",IFERROR(VLOOKUP(B178,'🏦 PRÊTS'!A:C,3,0),"?"))</f>
        <v/>
      </c>
      <c r="E178" s="18" t="str">
        <f>IF(B178="","",IFERROR(VLOOKUP(B178,'🏦 PRÊTS'!A:D,4,0),"?"))</f>
        <v/>
      </c>
      <c r="F178" s="32"/>
      <c r="G178" s="32"/>
      <c r="H178" s="32"/>
      <c r="I178" s="32"/>
      <c r="J178" s="23" t="str">
        <f>IF(B178="","",IFERROR(VLOOKUP(B178,'🏦 PRÊTS'!A:Q,17,0),""))</f>
        <v/>
      </c>
      <c r="K178" s="25" t="str">
        <f t="shared" si="5"/>
        <v>—</v>
      </c>
      <c r="L178" s="32"/>
    </row>
    <row r="179" spans="1:12" ht="19.5" customHeight="1" x14ac:dyDescent="0.3">
      <c r="A179" s="38" t="s">
        <v>386</v>
      </c>
      <c r="B179" s="36"/>
      <c r="C179" s="28" t="str">
        <f>IF(B179="","",IFERROR(VLOOKUP(B179,'🏦 PRÊTS'!A:B,2,0),"?"))</f>
        <v/>
      </c>
      <c r="D179" s="26" t="str">
        <f>IF(B179="","",IFERROR(VLOOKUP(B179,'🏦 PRÊTS'!A:C,3,0),"?"))</f>
        <v/>
      </c>
      <c r="E179" s="26" t="str">
        <f>IF(B179="","",IFERROR(VLOOKUP(B179,'🏦 PRÊTS'!A:D,4,0),"?"))</f>
        <v/>
      </c>
      <c r="F179" s="36"/>
      <c r="G179" s="36"/>
      <c r="H179" s="36"/>
      <c r="I179" s="36"/>
      <c r="J179" s="23" t="str">
        <f>IF(B179="","",IFERROR(VLOOKUP(B179,'🏦 PRÊTS'!A:Q,17,0),""))</f>
        <v/>
      </c>
      <c r="K179" s="28" t="str">
        <f t="shared" si="5"/>
        <v>—</v>
      </c>
      <c r="L179" s="36"/>
    </row>
    <row r="180" spans="1:12" ht="19.5" customHeight="1" x14ac:dyDescent="0.3">
      <c r="A180" s="38" t="s">
        <v>387</v>
      </c>
      <c r="B180" s="32"/>
      <c r="C180" s="25" t="str">
        <f>IF(B180="","",IFERROR(VLOOKUP(B180,'🏦 PRÊTS'!A:B,2,0),"?"))</f>
        <v/>
      </c>
      <c r="D180" s="18" t="str">
        <f>IF(B180="","",IFERROR(VLOOKUP(B180,'🏦 PRÊTS'!A:C,3,0),"?"))</f>
        <v/>
      </c>
      <c r="E180" s="18" t="str">
        <f>IF(B180="","",IFERROR(VLOOKUP(B180,'🏦 PRÊTS'!A:D,4,0),"?"))</f>
        <v/>
      </c>
      <c r="F180" s="32"/>
      <c r="G180" s="32"/>
      <c r="H180" s="32"/>
      <c r="I180" s="32"/>
      <c r="J180" s="23" t="str">
        <f>IF(B180="","",IFERROR(VLOOKUP(B180,'🏦 PRÊTS'!A:Q,17,0),""))</f>
        <v/>
      </c>
      <c r="K180" s="25" t="str">
        <f t="shared" si="5"/>
        <v>—</v>
      </c>
      <c r="L180" s="32"/>
    </row>
    <row r="181" spans="1:12" ht="19.5" customHeight="1" x14ac:dyDescent="0.3">
      <c r="A181" s="38" t="s">
        <v>388</v>
      </c>
      <c r="B181" s="36"/>
      <c r="C181" s="28" t="str">
        <f>IF(B181="","",IFERROR(VLOOKUP(B181,'🏦 PRÊTS'!A:B,2,0),"?"))</f>
        <v/>
      </c>
      <c r="D181" s="26" t="str">
        <f>IF(B181="","",IFERROR(VLOOKUP(B181,'🏦 PRÊTS'!A:C,3,0),"?"))</f>
        <v/>
      </c>
      <c r="E181" s="26" t="str">
        <f>IF(B181="","",IFERROR(VLOOKUP(B181,'🏦 PRÊTS'!A:D,4,0),"?"))</f>
        <v/>
      </c>
      <c r="F181" s="36"/>
      <c r="G181" s="36"/>
      <c r="H181" s="36"/>
      <c r="I181" s="36"/>
      <c r="J181" s="23" t="str">
        <f>IF(B181="","",IFERROR(VLOOKUP(B181,'🏦 PRÊTS'!A:Q,17,0),""))</f>
        <v/>
      </c>
      <c r="K181" s="28" t="str">
        <f t="shared" si="5"/>
        <v>—</v>
      </c>
      <c r="L181" s="36"/>
    </row>
    <row r="182" spans="1:12" ht="19.5" customHeight="1" x14ac:dyDescent="0.3">
      <c r="A182" s="38" t="s">
        <v>389</v>
      </c>
      <c r="B182" s="32"/>
      <c r="C182" s="25" t="str">
        <f>IF(B182="","",IFERROR(VLOOKUP(B182,'🏦 PRÊTS'!A:B,2,0),"?"))</f>
        <v/>
      </c>
      <c r="D182" s="18" t="str">
        <f>IF(B182="","",IFERROR(VLOOKUP(B182,'🏦 PRÊTS'!A:C,3,0),"?"))</f>
        <v/>
      </c>
      <c r="E182" s="18" t="str">
        <f>IF(B182="","",IFERROR(VLOOKUP(B182,'🏦 PRÊTS'!A:D,4,0),"?"))</f>
        <v/>
      </c>
      <c r="F182" s="32"/>
      <c r="G182" s="32"/>
      <c r="H182" s="32"/>
      <c r="I182" s="32"/>
      <c r="J182" s="23" t="str">
        <f>IF(B182="","",IFERROR(VLOOKUP(B182,'🏦 PRÊTS'!A:Q,17,0),""))</f>
        <v/>
      </c>
      <c r="K182" s="25" t="str">
        <f t="shared" si="5"/>
        <v>—</v>
      </c>
      <c r="L182" s="32"/>
    </row>
    <row r="183" spans="1:12" ht="19.5" customHeight="1" x14ac:dyDescent="0.3">
      <c r="A183" s="38" t="s">
        <v>390</v>
      </c>
      <c r="B183" s="36"/>
      <c r="C183" s="28" t="str">
        <f>IF(B183="","",IFERROR(VLOOKUP(B183,'🏦 PRÊTS'!A:B,2,0),"?"))</f>
        <v/>
      </c>
      <c r="D183" s="26" t="str">
        <f>IF(B183="","",IFERROR(VLOOKUP(B183,'🏦 PRÊTS'!A:C,3,0),"?"))</f>
        <v/>
      </c>
      <c r="E183" s="26" t="str">
        <f>IF(B183="","",IFERROR(VLOOKUP(B183,'🏦 PRÊTS'!A:D,4,0),"?"))</f>
        <v/>
      </c>
      <c r="F183" s="36"/>
      <c r="G183" s="36"/>
      <c r="H183" s="36"/>
      <c r="I183" s="36"/>
      <c r="J183" s="23" t="str">
        <f>IF(B183="","",IFERROR(VLOOKUP(B183,'🏦 PRÊTS'!A:Q,17,0),""))</f>
        <v/>
      </c>
      <c r="K183" s="28" t="str">
        <f t="shared" si="5"/>
        <v>—</v>
      </c>
      <c r="L183" s="36"/>
    </row>
    <row r="184" spans="1:12" ht="19.5" customHeight="1" x14ac:dyDescent="0.3">
      <c r="A184" s="38" t="s">
        <v>391</v>
      </c>
      <c r="B184" s="32"/>
      <c r="C184" s="25" t="str">
        <f>IF(B184="","",IFERROR(VLOOKUP(B184,'🏦 PRÊTS'!A:B,2,0),"?"))</f>
        <v/>
      </c>
      <c r="D184" s="18" t="str">
        <f>IF(B184="","",IFERROR(VLOOKUP(B184,'🏦 PRÊTS'!A:C,3,0),"?"))</f>
        <v/>
      </c>
      <c r="E184" s="18" t="str">
        <f>IF(B184="","",IFERROR(VLOOKUP(B184,'🏦 PRÊTS'!A:D,4,0),"?"))</f>
        <v/>
      </c>
      <c r="F184" s="32"/>
      <c r="G184" s="32"/>
      <c r="H184" s="32"/>
      <c r="I184" s="32"/>
      <c r="J184" s="23" t="str">
        <f>IF(B184="","",IFERROR(VLOOKUP(B184,'🏦 PRÊTS'!A:Q,17,0),""))</f>
        <v/>
      </c>
      <c r="K184" s="25" t="str">
        <f t="shared" si="5"/>
        <v>—</v>
      </c>
      <c r="L184" s="32"/>
    </row>
    <row r="185" spans="1:12" ht="19.5" customHeight="1" x14ac:dyDescent="0.3">
      <c r="A185" s="38" t="s">
        <v>392</v>
      </c>
      <c r="B185" s="36"/>
      <c r="C185" s="28" t="str">
        <f>IF(B185="","",IFERROR(VLOOKUP(B185,'🏦 PRÊTS'!A:B,2,0),"?"))</f>
        <v/>
      </c>
      <c r="D185" s="26" t="str">
        <f>IF(B185="","",IFERROR(VLOOKUP(B185,'🏦 PRÊTS'!A:C,3,0),"?"))</f>
        <v/>
      </c>
      <c r="E185" s="26" t="str">
        <f>IF(B185="","",IFERROR(VLOOKUP(B185,'🏦 PRÊTS'!A:D,4,0),"?"))</f>
        <v/>
      </c>
      <c r="F185" s="36"/>
      <c r="G185" s="36"/>
      <c r="H185" s="36"/>
      <c r="I185" s="36"/>
      <c r="J185" s="23" t="str">
        <f>IF(B185="","",IFERROR(VLOOKUP(B185,'🏦 PRÊTS'!A:Q,17,0),""))</f>
        <v/>
      </c>
      <c r="K185" s="28" t="str">
        <f t="shared" si="5"/>
        <v>—</v>
      </c>
      <c r="L185" s="36"/>
    </row>
    <row r="186" spans="1:12" ht="19.5" customHeight="1" x14ac:dyDescent="0.3">
      <c r="A186" s="38" t="s">
        <v>393</v>
      </c>
      <c r="B186" s="32"/>
      <c r="C186" s="25" t="str">
        <f>IF(B186="","",IFERROR(VLOOKUP(B186,'🏦 PRÊTS'!A:B,2,0),"?"))</f>
        <v/>
      </c>
      <c r="D186" s="18" t="str">
        <f>IF(B186="","",IFERROR(VLOOKUP(B186,'🏦 PRÊTS'!A:C,3,0),"?"))</f>
        <v/>
      </c>
      <c r="E186" s="18" t="str">
        <f>IF(B186="","",IFERROR(VLOOKUP(B186,'🏦 PRÊTS'!A:D,4,0),"?"))</f>
        <v/>
      </c>
      <c r="F186" s="32"/>
      <c r="G186" s="32"/>
      <c r="H186" s="32"/>
      <c r="I186" s="32"/>
      <c r="J186" s="23" t="str">
        <f>IF(B186="","",IFERROR(VLOOKUP(B186,'🏦 PRÊTS'!A:Q,17,0),""))</f>
        <v/>
      </c>
      <c r="K186" s="25" t="str">
        <f t="shared" si="5"/>
        <v>—</v>
      </c>
      <c r="L186" s="32"/>
    </row>
    <row r="187" spans="1:12" ht="19.5" customHeight="1" x14ac:dyDescent="0.3">
      <c r="A187" s="38" t="s">
        <v>394</v>
      </c>
      <c r="B187" s="36"/>
      <c r="C187" s="28" t="str">
        <f>IF(B187="","",IFERROR(VLOOKUP(B187,'🏦 PRÊTS'!A:B,2,0),"?"))</f>
        <v/>
      </c>
      <c r="D187" s="26" t="str">
        <f>IF(B187="","",IFERROR(VLOOKUP(B187,'🏦 PRÊTS'!A:C,3,0),"?"))</f>
        <v/>
      </c>
      <c r="E187" s="26" t="str">
        <f>IF(B187="","",IFERROR(VLOOKUP(B187,'🏦 PRÊTS'!A:D,4,0),"?"))</f>
        <v/>
      </c>
      <c r="F187" s="36"/>
      <c r="G187" s="36"/>
      <c r="H187" s="36"/>
      <c r="I187" s="36"/>
      <c r="J187" s="23" t="str">
        <f>IF(B187="","",IFERROR(VLOOKUP(B187,'🏦 PRÊTS'!A:Q,17,0),""))</f>
        <v/>
      </c>
      <c r="K187" s="28" t="str">
        <f t="shared" si="5"/>
        <v>—</v>
      </c>
      <c r="L187" s="36"/>
    </row>
    <row r="188" spans="1:12" ht="19.5" customHeight="1" x14ac:dyDescent="0.3">
      <c r="A188" s="38" t="s">
        <v>395</v>
      </c>
      <c r="B188" s="32"/>
      <c r="C188" s="25" t="str">
        <f>IF(B188="","",IFERROR(VLOOKUP(B188,'🏦 PRÊTS'!A:B,2,0),"?"))</f>
        <v/>
      </c>
      <c r="D188" s="18" t="str">
        <f>IF(B188="","",IFERROR(VLOOKUP(B188,'🏦 PRÊTS'!A:C,3,0),"?"))</f>
        <v/>
      </c>
      <c r="E188" s="18" t="str">
        <f>IF(B188="","",IFERROR(VLOOKUP(B188,'🏦 PRÊTS'!A:D,4,0),"?"))</f>
        <v/>
      </c>
      <c r="F188" s="32"/>
      <c r="G188" s="32"/>
      <c r="H188" s="32"/>
      <c r="I188" s="32"/>
      <c r="J188" s="23" t="str">
        <f>IF(B188="","",IFERROR(VLOOKUP(B188,'🏦 PRÊTS'!A:Q,17,0),""))</f>
        <v/>
      </c>
      <c r="K188" s="25" t="str">
        <f t="shared" si="5"/>
        <v>—</v>
      </c>
      <c r="L188" s="32"/>
    </row>
    <row r="189" spans="1:12" ht="19.5" customHeight="1" x14ac:dyDescent="0.3">
      <c r="A189" s="38" t="s">
        <v>396</v>
      </c>
      <c r="B189" s="36"/>
      <c r="C189" s="28" t="str">
        <f>IF(B189="","",IFERROR(VLOOKUP(B189,'🏦 PRÊTS'!A:B,2,0),"?"))</f>
        <v/>
      </c>
      <c r="D189" s="26" t="str">
        <f>IF(B189="","",IFERROR(VLOOKUP(B189,'🏦 PRÊTS'!A:C,3,0),"?"))</f>
        <v/>
      </c>
      <c r="E189" s="26" t="str">
        <f>IF(B189="","",IFERROR(VLOOKUP(B189,'🏦 PRÊTS'!A:D,4,0),"?"))</f>
        <v/>
      </c>
      <c r="F189" s="36"/>
      <c r="G189" s="36"/>
      <c r="H189" s="36"/>
      <c r="I189" s="36"/>
      <c r="J189" s="23" t="str">
        <f>IF(B189="","",IFERROR(VLOOKUP(B189,'🏦 PRÊTS'!A:Q,17,0),""))</f>
        <v/>
      </c>
      <c r="K189" s="28" t="str">
        <f t="shared" si="5"/>
        <v>—</v>
      </c>
      <c r="L189" s="36"/>
    </row>
    <row r="190" spans="1:12" ht="19.5" customHeight="1" x14ac:dyDescent="0.3">
      <c r="A190" s="38" t="s">
        <v>397</v>
      </c>
      <c r="B190" s="32"/>
      <c r="C190" s="25" t="str">
        <f>IF(B190="","",IFERROR(VLOOKUP(B190,'🏦 PRÊTS'!A:B,2,0),"?"))</f>
        <v/>
      </c>
      <c r="D190" s="18" t="str">
        <f>IF(B190="","",IFERROR(VLOOKUP(B190,'🏦 PRÊTS'!A:C,3,0),"?"))</f>
        <v/>
      </c>
      <c r="E190" s="18" t="str">
        <f>IF(B190="","",IFERROR(VLOOKUP(B190,'🏦 PRÊTS'!A:D,4,0),"?"))</f>
        <v/>
      </c>
      <c r="F190" s="32"/>
      <c r="G190" s="32"/>
      <c r="H190" s="32"/>
      <c r="I190" s="32"/>
      <c r="J190" s="23" t="str">
        <f>IF(B190="","",IFERROR(VLOOKUP(B190,'🏦 PRÊTS'!A:Q,17,0),""))</f>
        <v/>
      </c>
      <c r="K190" s="25" t="str">
        <f t="shared" si="5"/>
        <v>—</v>
      </c>
      <c r="L190" s="32"/>
    </row>
    <row r="191" spans="1:12" ht="19.5" customHeight="1" x14ac:dyDescent="0.3">
      <c r="A191" s="38" t="s">
        <v>398</v>
      </c>
      <c r="B191" s="36"/>
      <c r="C191" s="28" t="str">
        <f>IF(B191="","",IFERROR(VLOOKUP(B191,'🏦 PRÊTS'!A:B,2,0),"?"))</f>
        <v/>
      </c>
      <c r="D191" s="26" t="str">
        <f>IF(B191="","",IFERROR(VLOOKUP(B191,'🏦 PRÊTS'!A:C,3,0),"?"))</f>
        <v/>
      </c>
      <c r="E191" s="26" t="str">
        <f>IF(B191="","",IFERROR(VLOOKUP(B191,'🏦 PRÊTS'!A:D,4,0),"?"))</f>
        <v/>
      </c>
      <c r="F191" s="36"/>
      <c r="G191" s="36"/>
      <c r="H191" s="36"/>
      <c r="I191" s="36"/>
      <c r="J191" s="23" t="str">
        <f>IF(B191="","",IFERROR(VLOOKUP(B191,'🏦 PRÊTS'!A:Q,17,0),""))</f>
        <v/>
      </c>
      <c r="K191" s="28" t="str">
        <f t="shared" si="5"/>
        <v>—</v>
      </c>
      <c r="L191" s="36"/>
    </row>
    <row r="192" spans="1:12" ht="19.5" customHeight="1" x14ac:dyDescent="0.3">
      <c r="A192" s="38" t="s">
        <v>399</v>
      </c>
      <c r="B192" s="32"/>
      <c r="C192" s="25" t="str">
        <f>IF(B192="","",IFERROR(VLOOKUP(B192,'🏦 PRÊTS'!A:B,2,0),"?"))</f>
        <v/>
      </c>
      <c r="D192" s="18" t="str">
        <f>IF(B192="","",IFERROR(VLOOKUP(B192,'🏦 PRÊTS'!A:C,3,0),"?"))</f>
        <v/>
      </c>
      <c r="E192" s="18" t="str">
        <f>IF(B192="","",IFERROR(VLOOKUP(B192,'🏦 PRÊTS'!A:D,4,0),"?"))</f>
        <v/>
      </c>
      <c r="F192" s="32"/>
      <c r="G192" s="32"/>
      <c r="H192" s="32"/>
      <c r="I192" s="32"/>
      <c r="J192" s="23" t="str">
        <f>IF(B192="","",IFERROR(VLOOKUP(B192,'🏦 PRÊTS'!A:Q,17,0),""))</f>
        <v/>
      </c>
      <c r="K192" s="25" t="str">
        <f t="shared" si="5"/>
        <v>—</v>
      </c>
      <c r="L192" s="32"/>
    </row>
    <row r="193" spans="1:12" ht="19.5" customHeight="1" x14ac:dyDescent="0.3">
      <c r="A193" s="38" t="s">
        <v>400</v>
      </c>
      <c r="B193" s="36"/>
      <c r="C193" s="28" t="str">
        <f>IF(B193="","",IFERROR(VLOOKUP(B193,'🏦 PRÊTS'!A:B,2,0),"?"))</f>
        <v/>
      </c>
      <c r="D193" s="26" t="str">
        <f>IF(B193="","",IFERROR(VLOOKUP(B193,'🏦 PRÊTS'!A:C,3,0),"?"))</f>
        <v/>
      </c>
      <c r="E193" s="26" t="str">
        <f>IF(B193="","",IFERROR(VLOOKUP(B193,'🏦 PRÊTS'!A:D,4,0),"?"))</f>
        <v/>
      </c>
      <c r="F193" s="36"/>
      <c r="G193" s="36"/>
      <c r="H193" s="36"/>
      <c r="I193" s="36"/>
      <c r="J193" s="23" t="str">
        <f>IF(B193="","",IFERROR(VLOOKUP(B193,'🏦 PRÊTS'!A:Q,17,0),""))</f>
        <v/>
      </c>
      <c r="K193" s="28" t="str">
        <f t="shared" si="5"/>
        <v>—</v>
      </c>
      <c r="L193" s="36"/>
    </row>
    <row r="194" spans="1:12" ht="19.5" customHeight="1" x14ac:dyDescent="0.3">
      <c r="A194" s="38" t="s">
        <v>401</v>
      </c>
      <c r="B194" s="32"/>
      <c r="C194" s="25" t="str">
        <f>IF(B194="","",IFERROR(VLOOKUP(B194,'🏦 PRÊTS'!A:B,2,0),"?"))</f>
        <v/>
      </c>
      <c r="D194" s="18" t="str">
        <f>IF(B194="","",IFERROR(VLOOKUP(B194,'🏦 PRÊTS'!A:C,3,0),"?"))</f>
        <v/>
      </c>
      <c r="E194" s="18" t="str">
        <f>IF(B194="","",IFERROR(VLOOKUP(B194,'🏦 PRÊTS'!A:D,4,0),"?"))</f>
        <v/>
      </c>
      <c r="F194" s="32"/>
      <c r="G194" s="32"/>
      <c r="H194" s="32"/>
      <c r="I194" s="32"/>
      <c r="J194" s="23" t="str">
        <f>IF(B194="","",IFERROR(VLOOKUP(B194,'🏦 PRÊTS'!A:Q,17,0),""))</f>
        <v/>
      </c>
      <c r="K194" s="25" t="str">
        <f t="shared" si="5"/>
        <v>—</v>
      </c>
      <c r="L194" s="32"/>
    </row>
    <row r="195" spans="1:12" ht="19.5" customHeight="1" x14ac:dyDescent="0.3">
      <c r="A195" s="38" t="s">
        <v>402</v>
      </c>
      <c r="B195" s="36"/>
      <c r="C195" s="28" t="str">
        <f>IF(B195="","",IFERROR(VLOOKUP(B195,'🏦 PRÊTS'!A:B,2,0),"?"))</f>
        <v/>
      </c>
      <c r="D195" s="26" t="str">
        <f>IF(B195="","",IFERROR(VLOOKUP(B195,'🏦 PRÊTS'!A:C,3,0),"?"))</f>
        <v/>
      </c>
      <c r="E195" s="26" t="str">
        <f>IF(B195="","",IFERROR(VLOOKUP(B195,'🏦 PRÊTS'!A:D,4,0),"?"))</f>
        <v/>
      </c>
      <c r="F195" s="36"/>
      <c r="G195" s="36"/>
      <c r="H195" s="36"/>
      <c r="I195" s="36"/>
      <c r="J195" s="23" t="str">
        <f>IF(B195="","",IFERROR(VLOOKUP(B195,'🏦 PRÊTS'!A:Q,17,0),""))</f>
        <v/>
      </c>
      <c r="K195" s="28" t="str">
        <f t="shared" si="5"/>
        <v>—</v>
      </c>
      <c r="L195" s="36"/>
    </row>
    <row r="196" spans="1:12" ht="19.5" customHeight="1" x14ac:dyDescent="0.3">
      <c r="A196" s="38" t="s">
        <v>403</v>
      </c>
      <c r="B196" s="32"/>
      <c r="C196" s="25" t="str">
        <f>IF(B196="","",IFERROR(VLOOKUP(B196,'🏦 PRÊTS'!A:B,2,0),"?"))</f>
        <v/>
      </c>
      <c r="D196" s="18" t="str">
        <f>IF(B196="","",IFERROR(VLOOKUP(B196,'🏦 PRÊTS'!A:C,3,0),"?"))</f>
        <v/>
      </c>
      <c r="E196" s="18" t="str">
        <f>IF(B196="","",IFERROR(VLOOKUP(B196,'🏦 PRÊTS'!A:D,4,0),"?"))</f>
        <v/>
      </c>
      <c r="F196" s="32"/>
      <c r="G196" s="32"/>
      <c r="H196" s="32"/>
      <c r="I196" s="32"/>
      <c r="J196" s="23" t="str">
        <f>IF(B196="","",IFERROR(VLOOKUP(B196,'🏦 PRÊTS'!A:Q,17,0),""))</f>
        <v/>
      </c>
      <c r="K196" s="25" t="str">
        <f t="shared" ref="K196:K203" si="6">IF(J196="","—",IF(J196=0,"✅ Soldé","🔄 Partiel"))</f>
        <v>—</v>
      </c>
      <c r="L196" s="32"/>
    </row>
    <row r="197" spans="1:12" ht="19.5" customHeight="1" x14ac:dyDescent="0.3">
      <c r="A197" s="38" t="s">
        <v>404</v>
      </c>
      <c r="B197" s="36"/>
      <c r="C197" s="28" t="str">
        <f>IF(B197="","",IFERROR(VLOOKUP(B197,'🏦 PRÊTS'!A:B,2,0),"?"))</f>
        <v/>
      </c>
      <c r="D197" s="26" t="str">
        <f>IF(B197="","",IFERROR(VLOOKUP(B197,'🏦 PRÊTS'!A:C,3,0),"?"))</f>
        <v/>
      </c>
      <c r="E197" s="26" t="str">
        <f>IF(B197="","",IFERROR(VLOOKUP(B197,'🏦 PRÊTS'!A:D,4,0),"?"))</f>
        <v/>
      </c>
      <c r="F197" s="36"/>
      <c r="G197" s="36"/>
      <c r="H197" s="36"/>
      <c r="I197" s="36"/>
      <c r="J197" s="23" t="str">
        <f>IF(B197="","",IFERROR(VLOOKUP(B197,'🏦 PRÊTS'!A:Q,17,0),""))</f>
        <v/>
      </c>
      <c r="K197" s="28" t="str">
        <f t="shared" si="6"/>
        <v>—</v>
      </c>
      <c r="L197" s="36"/>
    </row>
    <row r="198" spans="1:12" ht="19.5" customHeight="1" x14ac:dyDescent="0.3">
      <c r="A198" s="38" t="s">
        <v>405</v>
      </c>
      <c r="B198" s="32"/>
      <c r="C198" s="25" t="str">
        <f>IF(B198="","",IFERROR(VLOOKUP(B198,'🏦 PRÊTS'!A:B,2,0),"?"))</f>
        <v/>
      </c>
      <c r="D198" s="18" t="str">
        <f>IF(B198="","",IFERROR(VLOOKUP(B198,'🏦 PRÊTS'!A:C,3,0),"?"))</f>
        <v/>
      </c>
      <c r="E198" s="18" t="str">
        <f>IF(B198="","",IFERROR(VLOOKUP(B198,'🏦 PRÊTS'!A:D,4,0),"?"))</f>
        <v/>
      </c>
      <c r="F198" s="32"/>
      <c r="G198" s="32"/>
      <c r="H198" s="32"/>
      <c r="I198" s="32"/>
      <c r="J198" s="23" t="str">
        <f>IF(B198="","",IFERROR(VLOOKUP(B198,'🏦 PRÊTS'!A:Q,17,0),""))</f>
        <v/>
      </c>
      <c r="K198" s="25" t="str">
        <f t="shared" si="6"/>
        <v>—</v>
      </c>
      <c r="L198" s="32"/>
    </row>
    <row r="199" spans="1:12" ht="19.5" customHeight="1" x14ac:dyDescent="0.3">
      <c r="A199" s="38" t="s">
        <v>406</v>
      </c>
      <c r="B199" s="36"/>
      <c r="C199" s="28" t="str">
        <f>IF(B199="","",IFERROR(VLOOKUP(B199,'🏦 PRÊTS'!A:B,2,0),"?"))</f>
        <v/>
      </c>
      <c r="D199" s="26" t="str">
        <f>IF(B199="","",IFERROR(VLOOKUP(B199,'🏦 PRÊTS'!A:C,3,0),"?"))</f>
        <v/>
      </c>
      <c r="E199" s="26" t="str">
        <f>IF(B199="","",IFERROR(VLOOKUP(B199,'🏦 PRÊTS'!A:D,4,0),"?"))</f>
        <v/>
      </c>
      <c r="F199" s="36"/>
      <c r="G199" s="36"/>
      <c r="H199" s="36"/>
      <c r="I199" s="36"/>
      <c r="J199" s="23" t="str">
        <f>IF(B199="","",IFERROR(VLOOKUP(B199,'🏦 PRÊTS'!A:Q,17,0),""))</f>
        <v/>
      </c>
      <c r="K199" s="28" t="str">
        <f t="shared" si="6"/>
        <v>—</v>
      </c>
      <c r="L199" s="36"/>
    </row>
    <row r="200" spans="1:12" ht="19.5" customHeight="1" x14ac:dyDescent="0.3">
      <c r="A200" s="38" t="s">
        <v>407</v>
      </c>
      <c r="B200" s="32"/>
      <c r="C200" s="25" t="str">
        <f>IF(B200="","",IFERROR(VLOOKUP(B200,'🏦 PRÊTS'!A:B,2,0),"?"))</f>
        <v/>
      </c>
      <c r="D200" s="18" t="str">
        <f>IF(B200="","",IFERROR(VLOOKUP(B200,'🏦 PRÊTS'!A:C,3,0),"?"))</f>
        <v/>
      </c>
      <c r="E200" s="18" t="str">
        <f>IF(B200="","",IFERROR(VLOOKUP(B200,'🏦 PRÊTS'!A:D,4,0),"?"))</f>
        <v/>
      </c>
      <c r="F200" s="32"/>
      <c r="G200" s="32"/>
      <c r="H200" s="32"/>
      <c r="I200" s="32"/>
      <c r="J200" s="23" t="str">
        <f>IF(B200="","",IFERROR(VLOOKUP(B200,'🏦 PRÊTS'!A:Q,17,0),""))</f>
        <v/>
      </c>
      <c r="K200" s="25" t="str">
        <f t="shared" si="6"/>
        <v>—</v>
      </c>
      <c r="L200" s="32"/>
    </row>
    <row r="201" spans="1:12" ht="19.5" customHeight="1" x14ac:dyDescent="0.3">
      <c r="A201" s="38" t="s">
        <v>408</v>
      </c>
      <c r="B201" s="36"/>
      <c r="C201" s="28" t="str">
        <f>IF(B201="","",IFERROR(VLOOKUP(B201,'🏦 PRÊTS'!A:B,2,0),"?"))</f>
        <v/>
      </c>
      <c r="D201" s="26" t="str">
        <f>IF(B201="","",IFERROR(VLOOKUP(B201,'🏦 PRÊTS'!A:C,3,0),"?"))</f>
        <v/>
      </c>
      <c r="E201" s="26" t="str">
        <f>IF(B201="","",IFERROR(VLOOKUP(B201,'🏦 PRÊTS'!A:D,4,0),"?"))</f>
        <v/>
      </c>
      <c r="F201" s="36"/>
      <c r="G201" s="36"/>
      <c r="H201" s="36"/>
      <c r="I201" s="36"/>
      <c r="J201" s="23" t="str">
        <f>IF(B201="","",IFERROR(VLOOKUP(B201,'🏦 PRÊTS'!A:Q,17,0),""))</f>
        <v/>
      </c>
      <c r="K201" s="28" t="str">
        <f t="shared" si="6"/>
        <v>—</v>
      </c>
      <c r="L201" s="36"/>
    </row>
    <row r="202" spans="1:12" ht="19.5" customHeight="1" x14ac:dyDescent="0.3">
      <c r="A202" s="38" t="s">
        <v>409</v>
      </c>
      <c r="B202" s="32"/>
      <c r="C202" s="25" t="str">
        <f>IF(B202="","",IFERROR(VLOOKUP(B202,'🏦 PRÊTS'!A:B,2,0),"?"))</f>
        <v/>
      </c>
      <c r="D202" s="18" t="str">
        <f>IF(B202="","",IFERROR(VLOOKUP(B202,'🏦 PRÊTS'!A:C,3,0),"?"))</f>
        <v/>
      </c>
      <c r="E202" s="18" t="str">
        <f>IF(B202="","",IFERROR(VLOOKUP(B202,'🏦 PRÊTS'!A:D,4,0),"?"))</f>
        <v/>
      </c>
      <c r="F202" s="32"/>
      <c r="G202" s="32"/>
      <c r="H202" s="32"/>
      <c r="I202" s="32"/>
      <c r="J202" s="23" t="str">
        <f>IF(B202="","",IFERROR(VLOOKUP(B202,'🏦 PRÊTS'!A:Q,17,0),""))</f>
        <v/>
      </c>
      <c r="K202" s="25" t="str">
        <f t="shared" si="6"/>
        <v>—</v>
      </c>
      <c r="L202" s="32"/>
    </row>
    <row r="203" spans="1:12" ht="19.5" customHeight="1" x14ac:dyDescent="0.3">
      <c r="A203" s="38" t="s">
        <v>410</v>
      </c>
      <c r="B203" s="36"/>
      <c r="C203" s="28" t="str">
        <f>IF(B203="","",IFERROR(VLOOKUP(B203,'🏦 PRÊTS'!A:B,2,0),"?"))</f>
        <v/>
      </c>
      <c r="D203" s="26" t="str">
        <f>IF(B203="","",IFERROR(VLOOKUP(B203,'🏦 PRÊTS'!A:C,3,0),"?"))</f>
        <v/>
      </c>
      <c r="E203" s="26" t="str">
        <f>IF(B203="","",IFERROR(VLOOKUP(B203,'🏦 PRÊTS'!A:D,4,0),"?"))</f>
        <v/>
      </c>
      <c r="F203" s="36"/>
      <c r="G203" s="36"/>
      <c r="H203" s="36"/>
      <c r="I203" s="36"/>
      <c r="J203" s="23" t="str">
        <f>IF(B203="","",IFERROR(VLOOKUP(B203,'🏦 PRÊTS'!A:Q,17,0),""))</f>
        <v/>
      </c>
      <c r="K203" s="28" t="str">
        <f t="shared" si="6"/>
        <v>—</v>
      </c>
      <c r="L203" s="36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304"/>
  <sheetViews>
    <sheetView showGridLines="0" zoomScaleNormal="10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baseColWidth="10" defaultColWidth="8.6640625" defaultRowHeight="14.4" x14ac:dyDescent="0.3"/>
  <cols>
    <col min="1" max="1" width="11.33203125" customWidth="1"/>
    <col min="2" max="2" width="14" customWidth="1"/>
    <col min="3" max="3" width="18" customWidth="1"/>
    <col min="4" max="4" width="20" customWidth="1"/>
    <col min="5" max="5" width="13" customWidth="1"/>
    <col min="6" max="6" width="30" customWidth="1"/>
    <col min="7" max="7" width="13" customWidth="1"/>
    <col min="8" max="8" width="10" customWidth="1"/>
    <col min="9" max="9" width="12" customWidth="1"/>
  </cols>
  <sheetData>
    <row r="1" spans="1:9" ht="31.5" customHeight="1" x14ac:dyDescent="0.3">
      <c r="A1" s="101" t="s">
        <v>411</v>
      </c>
      <c r="B1" s="101"/>
      <c r="C1" s="101"/>
      <c r="D1" s="101"/>
      <c r="E1" s="101"/>
      <c r="F1" s="101"/>
      <c r="G1" s="101"/>
      <c r="H1" s="101"/>
      <c r="I1" s="101"/>
    </row>
    <row r="2" spans="1:9" x14ac:dyDescent="0.3">
      <c r="A2" s="118" t="s">
        <v>412</v>
      </c>
      <c r="B2" s="117"/>
      <c r="C2" s="117"/>
      <c r="D2" s="117"/>
      <c r="E2" s="117"/>
      <c r="F2" s="117"/>
      <c r="G2" s="117"/>
      <c r="H2" s="117"/>
      <c r="I2" s="117"/>
    </row>
    <row r="3" spans="1:9" ht="36" customHeight="1" x14ac:dyDescent="0.3">
      <c r="A3" s="16" t="s">
        <v>413</v>
      </c>
      <c r="B3" s="16" t="s">
        <v>42</v>
      </c>
      <c r="C3" s="16" t="s">
        <v>43</v>
      </c>
      <c r="D3" s="16" t="s">
        <v>44</v>
      </c>
      <c r="E3" s="16" t="s">
        <v>414</v>
      </c>
      <c r="F3" s="16" t="s">
        <v>415</v>
      </c>
      <c r="G3" s="16" t="s">
        <v>416</v>
      </c>
      <c r="H3" s="16" t="s">
        <v>417</v>
      </c>
      <c r="I3" s="16" t="s">
        <v>418</v>
      </c>
    </row>
    <row r="4" spans="1:9" ht="19.5" customHeight="1" x14ac:dyDescent="0.3">
      <c r="A4" s="39" t="s">
        <v>419</v>
      </c>
      <c r="B4" s="32"/>
      <c r="C4" s="18" t="str">
        <f>IF(B4="","",IFERROR(VLOOKUP(B4,'👥 MEMBRES'!A:B,2,0),"?"))</f>
        <v/>
      </c>
      <c r="D4" s="18" t="str">
        <f>IF(B4="","",IFERROR(VLOOKUP(B4,'👥 MEMBRES'!A:C,3,0),"?"))</f>
        <v/>
      </c>
      <c r="E4" s="32"/>
      <c r="F4" s="32"/>
      <c r="G4" s="24" t="str">
        <f>IF(F4="","",IF(F4="Retard cotisation",'⚙️ PARAMÈTRES'!B8,IF(F4="Absence réunion",'⚙️ PARAMÈTRES'!B9,0)))</f>
        <v/>
      </c>
      <c r="H4" s="32"/>
      <c r="I4" s="23">
        <f t="shared" ref="I4:I67" si="0">IF(G4="",0,IF(H4="Oui",0,G4))</f>
        <v>0</v>
      </c>
    </row>
    <row r="5" spans="1:9" ht="19.5" customHeight="1" x14ac:dyDescent="0.3">
      <c r="A5" s="39" t="s">
        <v>420</v>
      </c>
      <c r="B5" s="36"/>
      <c r="C5" s="26" t="str">
        <f>IF(B5="","",IFERROR(VLOOKUP(B5,'👥 MEMBRES'!A:B,2,0),"?"))</f>
        <v/>
      </c>
      <c r="D5" s="26" t="str">
        <f>IF(B5="","",IFERROR(VLOOKUP(B5,'👥 MEMBRES'!A:C,3,0),"?"))</f>
        <v/>
      </c>
      <c r="E5" s="36"/>
      <c r="F5" s="36"/>
      <c r="G5" s="24" t="str">
        <f>IF(F5="","",IF(F5="Retard cotisation",'⚙️ PARAMÈTRES'!B8,IF(F5="Absence réunion",'⚙️ PARAMÈTRES'!B9,0)))</f>
        <v/>
      </c>
      <c r="H5" s="36"/>
      <c r="I5" s="23">
        <f t="shared" si="0"/>
        <v>0</v>
      </c>
    </row>
    <row r="6" spans="1:9" ht="19.5" customHeight="1" x14ac:dyDescent="0.3">
      <c r="A6" s="39" t="s">
        <v>421</v>
      </c>
      <c r="B6" s="32"/>
      <c r="C6" s="18" t="str">
        <f>IF(B6="","",IFERROR(VLOOKUP(B6,'👥 MEMBRES'!A:B,2,0),"?"))</f>
        <v/>
      </c>
      <c r="D6" s="18" t="str">
        <f>IF(B6="","",IFERROR(VLOOKUP(B6,'👥 MEMBRES'!A:C,3,0),"?"))</f>
        <v/>
      </c>
      <c r="E6" s="32"/>
      <c r="F6" s="32"/>
      <c r="G6" s="24" t="str">
        <f>IF(F6="","",IF(F6="Retard cotisation",'⚙️ PARAMÈTRES'!B8,IF(F6="Absence réunion",'⚙️ PARAMÈTRES'!B9,0)))</f>
        <v/>
      </c>
      <c r="H6" s="32"/>
      <c r="I6" s="23">
        <f t="shared" si="0"/>
        <v>0</v>
      </c>
    </row>
    <row r="7" spans="1:9" ht="19.5" customHeight="1" x14ac:dyDescent="0.3">
      <c r="A7" s="39" t="s">
        <v>422</v>
      </c>
      <c r="B7" s="36"/>
      <c r="C7" s="26" t="str">
        <f>IF(B7="","",IFERROR(VLOOKUP(B7,'👥 MEMBRES'!A:B,2,0),"?"))</f>
        <v/>
      </c>
      <c r="D7" s="26" t="str">
        <f>IF(B7="","",IFERROR(VLOOKUP(B7,'👥 MEMBRES'!A:C,3,0),"?"))</f>
        <v/>
      </c>
      <c r="E7" s="36"/>
      <c r="F7" s="36"/>
      <c r="G7" s="24" t="str">
        <f>IF(F7="","",IF(F7="Retard cotisation",'⚙️ PARAMÈTRES'!B8,IF(F7="Absence réunion",'⚙️ PARAMÈTRES'!B9,0)))</f>
        <v/>
      </c>
      <c r="H7" s="36"/>
      <c r="I7" s="23">
        <f t="shared" si="0"/>
        <v>0</v>
      </c>
    </row>
    <row r="8" spans="1:9" ht="19.5" customHeight="1" x14ac:dyDescent="0.3">
      <c r="A8" s="39" t="s">
        <v>423</v>
      </c>
      <c r="B8" s="32"/>
      <c r="C8" s="18" t="str">
        <f>IF(B8="","",IFERROR(VLOOKUP(B8,'👥 MEMBRES'!A:B,2,0),"?"))</f>
        <v/>
      </c>
      <c r="D8" s="18" t="str">
        <f>IF(B8="","",IFERROR(VLOOKUP(B8,'👥 MEMBRES'!A:C,3,0),"?"))</f>
        <v/>
      </c>
      <c r="E8" s="32"/>
      <c r="F8" s="32"/>
      <c r="G8" s="24" t="str">
        <f>IF(F8="","",IF(F8="Retard cotisation",'⚙️ PARAMÈTRES'!B8,IF(F8="Absence réunion",'⚙️ PARAMÈTRES'!B9,0)))</f>
        <v/>
      </c>
      <c r="H8" s="32"/>
      <c r="I8" s="23">
        <f t="shared" si="0"/>
        <v>0</v>
      </c>
    </row>
    <row r="9" spans="1:9" ht="19.5" customHeight="1" x14ac:dyDescent="0.3">
      <c r="A9" s="39" t="s">
        <v>424</v>
      </c>
      <c r="B9" s="36"/>
      <c r="C9" s="26" t="str">
        <f>IF(B9="","",IFERROR(VLOOKUP(B9,'👥 MEMBRES'!A:B,2,0),"?"))</f>
        <v/>
      </c>
      <c r="D9" s="26" t="str">
        <f>IF(B9="","",IFERROR(VLOOKUP(B9,'👥 MEMBRES'!A:C,3,0),"?"))</f>
        <v/>
      </c>
      <c r="E9" s="36"/>
      <c r="F9" s="36"/>
      <c r="G9" s="24" t="str">
        <f>IF(F9="","",IF(F9="Retard cotisation",'⚙️ PARAMÈTRES'!B8,IF(F9="Absence réunion",'⚙️ PARAMÈTRES'!B9,0)))</f>
        <v/>
      </c>
      <c r="H9" s="36"/>
      <c r="I9" s="23">
        <f t="shared" si="0"/>
        <v>0</v>
      </c>
    </row>
    <row r="10" spans="1:9" ht="19.5" customHeight="1" x14ac:dyDescent="0.3">
      <c r="A10" s="39" t="s">
        <v>425</v>
      </c>
      <c r="B10" s="32"/>
      <c r="C10" s="18" t="str">
        <f>IF(B10="","",IFERROR(VLOOKUP(B10,'👥 MEMBRES'!A:B,2,0),"?"))</f>
        <v/>
      </c>
      <c r="D10" s="18" t="str">
        <f>IF(B10="","",IFERROR(VLOOKUP(B10,'👥 MEMBRES'!A:C,3,0),"?"))</f>
        <v/>
      </c>
      <c r="E10" s="32"/>
      <c r="F10" s="32"/>
      <c r="G10" s="24" t="str">
        <f>IF(F10="","",IF(F10="Retard cotisation",'⚙️ PARAMÈTRES'!B8,IF(F10="Absence réunion",'⚙️ PARAMÈTRES'!B9,0)))</f>
        <v/>
      </c>
      <c r="H10" s="32"/>
      <c r="I10" s="23">
        <f t="shared" si="0"/>
        <v>0</v>
      </c>
    </row>
    <row r="11" spans="1:9" ht="19.5" customHeight="1" x14ac:dyDescent="0.3">
      <c r="A11" s="39" t="s">
        <v>426</v>
      </c>
      <c r="B11" s="36"/>
      <c r="C11" s="26" t="str">
        <f>IF(B11="","",IFERROR(VLOOKUP(B11,'👥 MEMBRES'!A:B,2,0),"?"))</f>
        <v/>
      </c>
      <c r="D11" s="26" t="str">
        <f>IF(B11="","",IFERROR(VLOOKUP(B11,'👥 MEMBRES'!A:C,3,0),"?"))</f>
        <v/>
      </c>
      <c r="E11" s="36"/>
      <c r="F11" s="36"/>
      <c r="G11" s="24" t="str">
        <f>IF(F11="","",IF(F11="Retard cotisation",'⚙️ PARAMÈTRES'!B8,IF(F11="Absence réunion",'⚙️ PARAMÈTRES'!B9,0)))</f>
        <v/>
      </c>
      <c r="H11" s="36"/>
      <c r="I11" s="23">
        <f t="shared" si="0"/>
        <v>0</v>
      </c>
    </row>
    <row r="12" spans="1:9" ht="19.5" customHeight="1" x14ac:dyDescent="0.3">
      <c r="A12" s="39" t="s">
        <v>427</v>
      </c>
      <c r="B12" s="32"/>
      <c r="C12" s="18" t="str">
        <f>IF(B12="","",IFERROR(VLOOKUP(B12,'👥 MEMBRES'!A:B,2,0),"?"))</f>
        <v/>
      </c>
      <c r="D12" s="18" t="str">
        <f>IF(B12="","",IFERROR(VLOOKUP(B12,'👥 MEMBRES'!A:C,3,0),"?"))</f>
        <v/>
      </c>
      <c r="E12" s="32"/>
      <c r="F12" s="32"/>
      <c r="G12" s="24" t="str">
        <f>IF(F12="","",IF(F12="Retard cotisation",'⚙️ PARAMÈTRES'!B8,IF(F12="Absence réunion",'⚙️ PARAMÈTRES'!B9,0)))</f>
        <v/>
      </c>
      <c r="H12" s="32"/>
      <c r="I12" s="23">
        <f t="shared" si="0"/>
        <v>0</v>
      </c>
    </row>
    <row r="13" spans="1:9" ht="19.5" customHeight="1" x14ac:dyDescent="0.3">
      <c r="A13" s="39" t="s">
        <v>428</v>
      </c>
      <c r="B13" s="36"/>
      <c r="C13" s="26" t="str">
        <f>IF(B13="","",IFERROR(VLOOKUP(B13,'👥 MEMBRES'!A:B,2,0),"?"))</f>
        <v/>
      </c>
      <c r="D13" s="26" t="str">
        <f>IF(B13="","",IFERROR(VLOOKUP(B13,'👥 MEMBRES'!A:C,3,0),"?"))</f>
        <v/>
      </c>
      <c r="E13" s="36"/>
      <c r="F13" s="36"/>
      <c r="G13" s="24" t="str">
        <f>IF(F13="","",IF(F13="Retard cotisation",'⚙️ PARAMÈTRES'!B8,IF(F13="Absence réunion",'⚙️ PARAMÈTRES'!B9,0)))</f>
        <v/>
      </c>
      <c r="H13" s="36"/>
      <c r="I13" s="23">
        <f t="shared" si="0"/>
        <v>0</v>
      </c>
    </row>
    <row r="14" spans="1:9" ht="19.5" customHeight="1" x14ac:dyDescent="0.3">
      <c r="A14" s="39" t="s">
        <v>429</v>
      </c>
      <c r="B14" s="32"/>
      <c r="C14" s="18" t="str">
        <f>IF(B14="","",IFERROR(VLOOKUP(B14,'👥 MEMBRES'!A:B,2,0),"?"))</f>
        <v/>
      </c>
      <c r="D14" s="18" t="str">
        <f>IF(B14="","",IFERROR(VLOOKUP(B14,'👥 MEMBRES'!A:C,3,0),"?"))</f>
        <v/>
      </c>
      <c r="E14" s="32"/>
      <c r="F14" s="32"/>
      <c r="G14" s="24" t="str">
        <f>IF(F14="","",IF(F14="Retard cotisation",'⚙️ PARAMÈTRES'!B8,IF(F14="Absence réunion",'⚙️ PARAMÈTRES'!B9,0)))</f>
        <v/>
      </c>
      <c r="H14" s="32"/>
      <c r="I14" s="23">
        <f t="shared" si="0"/>
        <v>0</v>
      </c>
    </row>
    <row r="15" spans="1:9" ht="19.5" customHeight="1" x14ac:dyDescent="0.3">
      <c r="A15" s="39" t="s">
        <v>430</v>
      </c>
      <c r="B15" s="36"/>
      <c r="C15" s="26" t="str">
        <f>IF(B15="","",IFERROR(VLOOKUP(B15,'👥 MEMBRES'!A:B,2,0),"?"))</f>
        <v/>
      </c>
      <c r="D15" s="26" t="str">
        <f>IF(B15="","",IFERROR(VLOOKUP(B15,'👥 MEMBRES'!A:C,3,0),"?"))</f>
        <v/>
      </c>
      <c r="E15" s="36"/>
      <c r="F15" s="36"/>
      <c r="G15" s="24" t="str">
        <f>IF(F15="","",IF(F15="Retard cotisation",'⚙️ PARAMÈTRES'!B8,IF(F15="Absence réunion",'⚙️ PARAMÈTRES'!B9,0)))</f>
        <v/>
      </c>
      <c r="H15" s="36"/>
      <c r="I15" s="23">
        <f t="shared" si="0"/>
        <v>0</v>
      </c>
    </row>
    <row r="16" spans="1:9" ht="19.5" customHeight="1" x14ac:dyDescent="0.3">
      <c r="A16" s="39" t="s">
        <v>431</v>
      </c>
      <c r="B16" s="32"/>
      <c r="C16" s="18" t="str">
        <f>IF(B16="","",IFERROR(VLOOKUP(B16,'👥 MEMBRES'!A:B,2,0),"?"))</f>
        <v/>
      </c>
      <c r="D16" s="18" t="str">
        <f>IF(B16="","",IFERROR(VLOOKUP(B16,'👥 MEMBRES'!A:C,3,0),"?"))</f>
        <v/>
      </c>
      <c r="E16" s="32"/>
      <c r="F16" s="32"/>
      <c r="G16" s="24" t="str">
        <f>IF(F16="","",IF(F16="Retard cotisation",'⚙️ PARAMÈTRES'!B8,IF(F16="Absence réunion",'⚙️ PARAMÈTRES'!B9,0)))</f>
        <v/>
      </c>
      <c r="H16" s="32"/>
      <c r="I16" s="23">
        <f t="shared" si="0"/>
        <v>0</v>
      </c>
    </row>
    <row r="17" spans="1:9" ht="19.5" customHeight="1" x14ac:dyDescent="0.3">
      <c r="A17" s="39" t="s">
        <v>432</v>
      </c>
      <c r="B17" s="36"/>
      <c r="C17" s="26" t="str">
        <f>IF(B17="","",IFERROR(VLOOKUP(B17,'👥 MEMBRES'!A:B,2,0),"?"))</f>
        <v/>
      </c>
      <c r="D17" s="26" t="str">
        <f>IF(B17="","",IFERROR(VLOOKUP(B17,'👥 MEMBRES'!A:C,3,0),"?"))</f>
        <v/>
      </c>
      <c r="E17" s="36"/>
      <c r="F17" s="36"/>
      <c r="G17" s="24" t="str">
        <f>IF(F17="","",IF(F17="Retard cotisation",'⚙️ PARAMÈTRES'!B8,IF(F17="Absence réunion",'⚙️ PARAMÈTRES'!B9,0)))</f>
        <v/>
      </c>
      <c r="H17" s="36"/>
      <c r="I17" s="23">
        <f t="shared" si="0"/>
        <v>0</v>
      </c>
    </row>
    <row r="18" spans="1:9" ht="19.5" customHeight="1" x14ac:dyDescent="0.3">
      <c r="A18" s="39" t="s">
        <v>433</v>
      </c>
      <c r="B18" s="32"/>
      <c r="C18" s="18" t="str">
        <f>IF(B18="","",IFERROR(VLOOKUP(B18,'👥 MEMBRES'!A:B,2,0),"?"))</f>
        <v/>
      </c>
      <c r="D18" s="18" t="str">
        <f>IF(B18="","",IFERROR(VLOOKUP(B18,'👥 MEMBRES'!A:C,3,0),"?"))</f>
        <v/>
      </c>
      <c r="E18" s="32"/>
      <c r="F18" s="32"/>
      <c r="G18" s="24" t="str">
        <f>IF(F18="","",IF(F18="Retard cotisation",'⚙️ PARAMÈTRES'!B8,IF(F18="Absence réunion",'⚙️ PARAMÈTRES'!B9,0)))</f>
        <v/>
      </c>
      <c r="H18" s="32"/>
      <c r="I18" s="23">
        <f t="shared" si="0"/>
        <v>0</v>
      </c>
    </row>
    <row r="19" spans="1:9" ht="19.5" customHeight="1" x14ac:dyDescent="0.3">
      <c r="A19" s="39" t="s">
        <v>434</v>
      </c>
      <c r="B19" s="36"/>
      <c r="C19" s="26" t="str">
        <f>IF(B19="","",IFERROR(VLOOKUP(B19,'👥 MEMBRES'!A:B,2,0),"?"))</f>
        <v/>
      </c>
      <c r="D19" s="26" t="str">
        <f>IF(B19="","",IFERROR(VLOOKUP(B19,'👥 MEMBRES'!A:C,3,0),"?"))</f>
        <v/>
      </c>
      <c r="E19" s="36"/>
      <c r="F19" s="36"/>
      <c r="G19" s="24" t="str">
        <f>IF(F19="","",IF(F19="Retard cotisation",'⚙️ PARAMÈTRES'!B8,IF(F19="Absence réunion",'⚙️ PARAMÈTRES'!B9,0)))</f>
        <v/>
      </c>
      <c r="H19" s="36"/>
      <c r="I19" s="23">
        <f t="shared" si="0"/>
        <v>0</v>
      </c>
    </row>
    <row r="20" spans="1:9" ht="19.5" customHeight="1" x14ac:dyDescent="0.3">
      <c r="A20" s="39" t="s">
        <v>435</v>
      </c>
      <c r="B20" s="32"/>
      <c r="C20" s="18" t="str">
        <f>IF(B20="","",IFERROR(VLOOKUP(B20,'👥 MEMBRES'!A:B,2,0),"?"))</f>
        <v/>
      </c>
      <c r="D20" s="18" t="str">
        <f>IF(B20="","",IFERROR(VLOOKUP(B20,'👥 MEMBRES'!A:C,3,0),"?"))</f>
        <v/>
      </c>
      <c r="E20" s="32"/>
      <c r="F20" s="32"/>
      <c r="G20" s="24" t="str">
        <f>IF(F20="","",IF(F20="Retard cotisation",'⚙️ PARAMÈTRES'!B8,IF(F20="Absence réunion",'⚙️ PARAMÈTRES'!B9,0)))</f>
        <v/>
      </c>
      <c r="H20" s="32"/>
      <c r="I20" s="23">
        <f t="shared" si="0"/>
        <v>0</v>
      </c>
    </row>
    <row r="21" spans="1:9" ht="19.5" customHeight="1" x14ac:dyDescent="0.3">
      <c r="A21" s="39" t="s">
        <v>436</v>
      </c>
      <c r="B21" s="36"/>
      <c r="C21" s="26" t="str">
        <f>IF(B21="","",IFERROR(VLOOKUP(B21,'👥 MEMBRES'!A:B,2,0),"?"))</f>
        <v/>
      </c>
      <c r="D21" s="26" t="str">
        <f>IF(B21="","",IFERROR(VLOOKUP(B21,'👥 MEMBRES'!A:C,3,0),"?"))</f>
        <v/>
      </c>
      <c r="E21" s="36"/>
      <c r="F21" s="36"/>
      <c r="G21" s="24" t="str">
        <f>IF(F21="","",IF(F21="Retard cotisation",'⚙️ PARAMÈTRES'!B8,IF(F21="Absence réunion",'⚙️ PARAMÈTRES'!B9,0)))</f>
        <v/>
      </c>
      <c r="H21" s="36"/>
      <c r="I21" s="23">
        <f t="shared" si="0"/>
        <v>0</v>
      </c>
    </row>
    <row r="22" spans="1:9" ht="19.5" customHeight="1" x14ac:dyDescent="0.3">
      <c r="A22" s="39" t="s">
        <v>437</v>
      </c>
      <c r="B22" s="32"/>
      <c r="C22" s="18" t="str">
        <f>IF(B22="","",IFERROR(VLOOKUP(B22,'👥 MEMBRES'!A:B,2,0),"?"))</f>
        <v/>
      </c>
      <c r="D22" s="18" t="str">
        <f>IF(B22="","",IFERROR(VLOOKUP(B22,'👥 MEMBRES'!A:C,3,0),"?"))</f>
        <v/>
      </c>
      <c r="E22" s="32"/>
      <c r="F22" s="32"/>
      <c r="G22" s="24" t="str">
        <f>IF(F22="","",IF(F22="Retard cotisation",'⚙️ PARAMÈTRES'!B8,IF(F22="Absence réunion",'⚙️ PARAMÈTRES'!B9,0)))</f>
        <v/>
      </c>
      <c r="H22" s="32"/>
      <c r="I22" s="23">
        <f t="shared" si="0"/>
        <v>0</v>
      </c>
    </row>
    <row r="23" spans="1:9" ht="19.5" customHeight="1" x14ac:dyDescent="0.3">
      <c r="A23" s="39" t="s">
        <v>438</v>
      </c>
      <c r="B23" s="36"/>
      <c r="C23" s="26" t="str">
        <f>IF(B23="","",IFERROR(VLOOKUP(B23,'👥 MEMBRES'!A:B,2,0),"?"))</f>
        <v/>
      </c>
      <c r="D23" s="26" t="str">
        <f>IF(B23="","",IFERROR(VLOOKUP(B23,'👥 MEMBRES'!A:C,3,0),"?"))</f>
        <v/>
      </c>
      <c r="E23" s="36"/>
      <c r="F23" s="36"/>
      <c r="G23" s="24" t="str">
        <f>IF(F23="","",IF(F23="Retard cotisation",'⚙️ PARAMÈTRES'!B8,IF(F23="Absence réunion",'⚙️ PARAMÈTRES'!B9,0)))</f>
        <v/>
      </c>
      <c r="H23" s="36"/>
      <c r="I23" s="23">
        <f t="shared" si="0"/>
        <v>0</v>
      </c>
    </row>
    <row r="24" spans="1:9" ht="19.5" customHeight="1" x14ac:dyDescent="0.3">
      <c r="A24" s="39" t="s">
        <v>439</v>
      </c>
      <c r="B24" s="32"/>
      <c r="C24" s="18" t="str">
        <f>IF(B24="","",IFERROR(VLOOKUP(B24,'👥 MEMBRES'!A:B,2,0),"?"))</f>
        <v/>
      </c>
      <c r="D24" s="18" t="str">
        <f>IF(B24="","",IFERROR(VLOOKUP(B24,'👥 MEMBRES'!A:C,3,0),"?"))</f>
        <v/>
      </c>
      <c r="E24" s="32"/>
      <c r="F24" s="32"/>
      <c r="G24" s="24" t="str">
        <f>IF(F24="","",IF(F24="Retard cotisation",'⚙️ PARAMÈTRES'!B8,IF(F24="Absence réunion",'⚙️ PARAMÈTRES'!B9,0)))</f>
        <v/>
      </c>
      <c r="H24" s="32"/>
      <c r="I24" s="23">
        <f t="shared" si="0"/>
        <v>0</v>
      </c>
    </row>
    <row r="25" spans="1:9" ht="19.5" customHeight="1" x14ac:dyDescent="0.3">
      <c r="A25" s="39" t="s">
        <v>440</v>
      </c>
      <c r="B25" s="36"/>
      <c r="C25" s="26" t="str">
        <f>IF(B25="","",IFERROR(VLOOKUP(B25,'👥 MEMBRES'!A:B,2,0),"?"))</f>
        <v/>
      </c>
      <c r="D25" s="26" t="str">
        <f>IF(B25="","",IFERROR(VLOOKUP(B25,'👥 MEMBRES'!A:C,3,0),"?"))</f>
        <v/>
      </c>
      <c r="E25" s="36"/>
      <c r="F25" s="36"/>
      <c r="G25" s="24" t="str">
        <f>IF(F25="","",IF(F25="Retard cotisation",'⚙️ PARAMÈTRES'!B8,IF(F25="Absence réunion",'⚙️ PARAMÈTRES'!B9,0)))</f>
        <v/>
      </c>
      <c r="H25" s="36"/>
      <c r="I25" s="23">
        <f t="shared" si="0"/>
        <v>0</v>
      </c>
    </row>
    <row r="26" spans="1:9" ht="19.5" customHeight="1" x14ac:dyDescent="0.3">
      <c r="A26" s="39" t="s">
        <v>441</v>
      </c>
      <c r="B26" s="32"/>
      <c r="C26" s="18" t="str">
        <f>IF(B26="","",IFERROR(VLOOKUP(B26,'👥 MEMBRES'!A:B,2,0),"?"))</f>
        <v/>
      </c>
      <c r="D26" s="18" t="str">
        <f>IF(B26="","",IFERROR(VLOOKUP(B26,'👥 MEMBRES'!A:C,3,0),"?"))</f>
        <v/>
      </c>
      <c r="E26" s="32"/>
      <c r="F26" s="32"/>
      <c r="G26" s="24" t="str">
        <f>IF(F26="","",IF(F26="Retard cotisation",'⚙️ PARAMÈTRES'!B8,IF(F26="Absence réunion",'⚙️ PARAMÈTRES'!B9,0)))</f>
        <v/>
      </c>
      <c r="H26" s="32"/>
      <c r="I26" s="23">
        <f t="shared" si="0"/>
        <v>0</v>
      </c>
    </row>
    <row r="27" spans="1:9" ht="19.5" customHeight="1" x14ac:dyDescent="0.3">
      <c r="A27" s="39" t="s">
        <v>442</v>
      </c>
      <c r="B27" s="36"/>
      <c r="C27" s="26" t="str">
        <f>IF(B27="","",IFERROR(VLOOKUP(B27,'👥 MEMBRES'!A:B,2,0),"?"))</f>
        <v/>
      </c>
      <c r="D27" s="26" t="str">
        <f>IF(B27="","",IFERROR(VLOOKUP(B27,'👥 MEMBRES'!A:C,3,0),"?"))</f>
        <v/>
      </c>
      <c r="E27" s="36"/>
      <c r="F27" s="36"/>
      <c r="G27" s="24" t="str">
        <f>IF(F27="","",IF(F27="Retard cotisation",'⚙️ PARAMÈTRES'!B8,IF(F27="Absence réunion",'⚙️ PARAMÈTRES'!B9,0)))</f>
        <v/>
      </c>
      <c r="H27" s="36"/>
      <c r="I27" s="23">
        <f t="shared" si="0"/>
        <v>0</v>
      </c>
    </row>
    <row r="28" spans="1:9" ht="19.5" customHeight="1" x14ac:dyDescent="0.3">
      <c r="A28" s="39" t="s">
        <v>443</v>
      </c>
      <c r="B28" s="32"/>
      <c r="C28" s="18" t="str">
        <f>IF(B28="","",IFERROR(VLOOKUP(B28,'👥 MEMBRES'!A:B,2,0),"?"))</f>
        <v/>
      </c>
      <c r="D28" s="18" t="str">
        <f>IF(B28="","",IFERROR(VLOOKUP(B28,'👥 MEMBRES'!A:C,3,0),"?"))</f>
        <v/>
      </c>
      <c r="E28" s="32"/>
      <c r="F28" s="32"/>
      <c r="G28" s="24" t="str">
        <f>IF(F28="","",IF(F28="Retard cotisation",'⚙️ PARAMÈTRES'!B8,IF(F28="Absence réunion",'⚙️ PARAMÈTRES'!B9,0)))</f>
        <v/>
      </c>
      <c r="H28" s="32"/>
      <c r="I28" s="23">
        <f t="shared" si="0"/>
        <v>0</v>
      </c>
    </row>
    <row r="29" spans="1:9" ht="19.5" customHeight="1" x14ac:dyDescent="0.3">
      <c r="A29" s="39" t="s">
        <v>444</v>
      </c>
      <c r="B29" s="36"/>
      <c r="C29" s="26" t="str">
        <f>IF(B29="","",IFERROR(VLOOKUP(B29,'👥 MEMBRES'!A:B,2,0),"?"))</f>
        <v/>
      </c>
      <c r="D29" s="26" t="str">
        <f>IF(B29="","",IFERROR(VLOOKUP(B29,'👥 MEMBRES'!A:C,3,0),"?"))</f>
        <v/>
      </c>
      <c r="E29" s="36"/>
      <c r="F29" s="36"/>
      <c r="G29" s="24" t="str">
        <f>IF(F29="","",IF(F29="Retard cotisation",'⚙️ PARAMÈTRES'!B8,IF(F29="Absence réunion",'⚙️ PARAMÈTRES'!B9,0)))</f>
        <v/>
      </c>
      <c r="H29" s="36"/>
      <c r="I29" s="23">
        <f t="shared" si="0"/>
        <v>0</v>
      </c>
    </row>
    <row r="30" spans="1:9" ht="19.5" customHeight="1" x14ac:dyDescent="0.3">
      <c r="A30" s="39" t="s">
        <v>445</v>
      </c>
      <c r="B30" s="32"/>
      <c r="C30" s="18" t="str">
        <f>IF(B30="","",IFERROR(VLOOKUP(B30,'👥 MEMBRES'!A:B,2,0),"?"))</f>
        <v/>
      </c>
      <c r="D30" s="18" t="str">
        <f>IF(B30="","",IFERROR(VLOOKUP(B30,'👥 MEMBRES'!A:C,3,0),"?"))</f>
        <v/>
      </c>
      <c r="E30" s="32"/>
      <c r="F30" s="32"/>
      <c r="G30" s="24" t="str">
        <f>IF(F30="","",IF(F30="Retard cotisation",'⚙️ PARAMÈTRES'!B8,IF(F30="Absence réunion",'⚙️ PARAMÈTRES'!B9,0)))</f>
        <v/>
      </c>
      <c r="H30" s="32"/>
      <c r="I30" s="23">
        <f t="shared" si="0"/>
        <v>0</v>
      </c>
    </row>
    <row r="31" spans="1:9" ht="19.5" customHeight="1" x14ac:dyDescent="0.3">
      <c r="A31" s="39" t="s">
        <v>446</v>
      </c>
      <c r="B31" s="36"/>
      <c r="C31" s="26" t="str">
        <f>IF(B31="","",IFERROR(VLOOKUP(B31,'👥 MEMBRES'!A:B,2,0),"?"))</f>
        <v/>
      </c>
      <c r="D31" s="26" t="str">
        <f>IF(B31="","",IFERROR(VLOOKUP(B31,'👥 MEMBRES'!A:C,3,0),"?"))</f>
        <v/>
      </c>
      <c r="E31" s="36"/>
      <c r="F31" s="36"/>
      <c r="G31" s="24" t="str">
        <f>IF(F31="","",IF(F31="Retard cotisation",'⚙️ PARAMÈTRES'!B8,IF(F31="Absence réunion",'⚙️ PARAMÈTRES'!B9,0)))</f>
        <v/>
      </c>
      <c r="H31" s="36"/>
      <c r="I31" s="23">
        <f t="shared" si="0"/>
        <v>0</v>
      </c>
    </row>
    <row r="32" spans="1:9" ht="19.5" customHeight="1" x14ac:dyDescent="0.3">
      <c r="A32" s="39" t="s">
        <v>447</v>
      </c>
      <c r="B32" s="32"/>
      <c r="C32" s="18" t="str">
        <f>IF(B32="","",IFERROR(VLOOKUP(B32,'👥 MEMBRES'!A:B,2,0),"?"))</f>
        <v/>
      </c>
      <c r="D32" s="18" t="str">
        <f>IF(B32="","",IFERROR(VLOOKUP(B32,'👥 MEMBRES'!A:C,3,0),"?"))</f>
        <v/>
      </c>
      <c r="E32" s="32"/>
      <c r="F32" s="32"/>
      <c r="G32" s="24" t="str">
        <f>IF(F32="","",IF(F32="Retard cotisation",'⚙️ PARAMÈTRES'!B8,IF(F32="Absence réunion",'⚙️ PARAMÈTRES'!B9,0)))</f>
        <v/>
      </c>
      <c r="H32" s="32"/>
      <c r="I32" s="23">
        <f t="shared" si="0"/>
        <v>0</v>
      </c>
    </row>
    <row r="33" spans="1:9" ht="19.5" customHeight="1" x14ac:dyDescent="0.3">
      <c r="A33" s="39" t="s">
        <v>448</v>
      </c>
      <c r="B33" s="36"/>
      <c r="C33" s="26" t="str">
        <f>IF(B33="","",IFERROR(VLOOKUP(B33,'👥 MEMBRES'!A:B,2,0),"?"))</f>
        <v/>
      </c>
      <c r="D33" s="26" t="str">
        <f>IF(B33="","",IFERROR(VLOOKUP(B33,'👥 MEMBRES'!A:C,3,0),"?"))</f>
        <v/>
      </c>
      <c r="E33" s="36"/>
      <c r="F33" s="36"/>
      <c r="G33" s="24" t="str">
        <f>IF(F33="","",IF(F33="Retard cotisation",'⚙️ PARAMÈTRES'!B8,IF(F33="Absence réunion",'⚙️ PARAMÈTRES'!B9,0)))</f>
        <v/>
      </c>
      <c r="H33" s="36"/>
      <c r="I33" s="23">
        <f t="shared" si="0"/>
        <v>0</v>
      </c>
    </row>
    <row r="34" spans="1:9" ht="19.5" customHeight="1" x14ac:dyDescent="0.3">
      <c r="A34" s="39" t="s">
        <v>449</v>
      </c>
      <c r="B34" s="32"/>
      <c r="C34" s="18" t="str">
        <f>IF(B34="","",IFERROR(VLOOKUP(B34,'👥 MEMBRES'!A:B,2,0),"?"))</f>
        <v/>
      </c>
      <c r="D34" s="18" t="str">
        <f>IF(B34="","",IFERROR(VLOOKUP(B34,'👥 MEMBRES'!A:C,3,0),"?"))</f>
        <v/>
      </c>
      <c r="E34" s="32"/>
      <c r="F34" s="32"/>
      <c r="G34" s="24" t="str">
        <f>IF(F34="","",IF(F34="Retard cotisation",'⚙️ PARAMÈTRES'!B8,IF(F34="Absence réunion",'⚙️ PARAMÈTRES'!B9,0)))</f>
        <v/>
      </c>
      <c r="H34" s="32"/>
      <c r="I34" s="23">
        <f t="shared" si="0"/>
        <v>0</v>
      </c>
    </row>
    <row r="35" spans="1:9" ht="19.5" customHeight="1" x14ac:dyDescent="0.3">
      <c r="A35" s="39" t="s">
        <v>450</v>
      </c>
      <c r="B35" s="36"/>
      <c r="C35" s="26" t="str">
        <f>IF(B35="","",IFERROR(VLOOKUP(B35,'👥 MEMBRES'!A:B,2,0),"?"))</f>
        <v/>
      </c>
      <c r="D35" s="26" t="str">
        <f>IF(B35="","",IFERROR(VLOOKUP(B35,'👥 MEMBRES'!A:C,3,0),"?"))</f>
        <v/>
      </c>
      <c r="E35" s="36"/>
      <c r="F35" s="36"/>
      <c r="G35" s="24" t="str">
        <f>IF(F35="","",IF(F35="Retard cotisation",'⚙️ PARAMÈTRES'!B8,IF(F35="Absence réunion",'⚙️ PARAMÈTRES'!B9,0)))</f>
        <v/>
      </c>
      <c r="H35" s="36"/>
      <c r="I35" s="23">
        <f t="shared" si="0"/>
        <v>0</v>
      </c>
    </row>
    <row r="36" spans="1:9" ht="19.5" customHeight="1" x14ac:dyDescent="0.3">
      <c r="A36" s="39" t="s">
        <v>451</v>
      </c>
      <c r="B36" s="32"/>
      <c r="C36" s="18" t="str">
        <f>IF(B36="","",IFERROR(VLOOKUP(B36,'👥 MEMBRES'!A:B,2,0),"?"))</f>
        <v/>
      </c>
      <c r="D36" s="18" t="str">
        <f>IF(B36="","",IFERROR(VLOOKUP(B36,'👥 MEMBRES'!A:C,3,0),"?"))</f>
        <v/>
      </c>
      <c r="E36" s="32"/>
      <c r="F36" s="32"/>
      <c r="G36" s="24" t="str">
        <f>IF(F36="","",IF(F36="Retard cotisation",'⚙️ PARAMÈTRES'!B8,IF(F36="Absence réunion",'⚙️ PARAMÈTRES'!B9,0)))</f>
        <v/>
      </c>
      <c r="H36" s="32"/>
      <c r="I36" s="23">
        <f t="shared" si="0"/>
        <v>0</v>
      </c>
    </row>
    <row r="37" spans="1:9" ht="19.5" customHeight="1" x14ac:dyDescent="0.3">
      <c r="A37" s="39" t="s">
        <v>452</v>
      </c>
      <c r="B37" s="36"/>
      <c r="C37" s="26" t="str">
        <f>IF(B37="","",IFERROR(VLOOKUP(B37,'👥 MEMBRES'!A:B,2,0),"?"))</f>
        <v/>
      </c>
      <c r="D37" s="26" t="str">
        <f>IF(B37="","",IFERROR(VLOOKUP(B37,'👥 MEMBRES'!A:C,3,0),"?"))</f>
        <v/>
      </c>
      <c r="E37" s="36"/>
      <c r="F37" s="36"/>
      <c r="G37" s="24" t="str">
        <f>IF(F37="","",IF(F37="Retard cotisation",'⚙️ PARAMÈTRES'!B8,IF(F37="Absence réunion",'⚙️ PARAMÈTRES'!B9,0)))</f>
        <v/>
      </c>
      <c r="H37" s="36"/>
      <c r="I37" s="23">
        <f t="shared" si="0"/>
        <v>0</v>
      </c>
    </row>
    <row r="38" spans="1:9" ht="19.5" customHeight="1" x14ac:dyDescent="0.3">
      <c r="A38" s="39" t="s">
        <v>453</v>
      </c>
      <c r="B38" s="32"/>
      <c r="C38" s="18" t="str">
        <f>IF(B38="","",IFERROR(VLOOKUP(B38,'👥 MEMBRES'!A:B,2,0),"?"))</f>
        <v/>
      </c>
      <c r="D38" s="18" t="str">
        <f>IF(B38="","",IFERROR(VLOOKUP(B38,'👥 MEMBRES'!A:C,3,0),"?"))</f>
        <v/>
      </c>
      <c r="E38" s="32"/>
      <c r="F38" s="32"/>
      <c r="G38" s="24" t="str">
        <f>IF(F38="","",IF(F38="Retard cotisation",'⚙️ PARAMÈTRES'!B8,IF(F38="Absence réunion",'⚙️ PARAMÈTRES'!B9,0)))</f>
        <v/>
      </c>
      <c r="H38" s="32"/>
      <c r="I38" s="23">
        <f t="shared" si="0"/>
        <v>0</v>
      </c>
    </row>
    <row r="39" spans="1:9" ht="19.5" customHeight="1" x14ac:dyDescent="0.3">
      <c r="A39" s="39" t="s">
        <v>454</v>
      </c>
      <c r="B39" s="36"/>
      <c r="C39" s="26" t="str">
        <f>IF(B39="","",IFERROR(VLOOKUP(B39,'👥 MEMBRES'!A:B,2,0),"?"))</f>
        <v/>
      </c>
      <c r="D39" s="26" t="str">
        <f>IF(B39="","",IFERROR(VLOOKUP(B39,'👥 MEMBRES'!A:C,3,0),"?"))</f>
        <v/>
      </c>
      <c r="E39" s="36"/>
      <c r="F39" s="36"/>
      <c r="G39" s="24" t="str">
        <f>IF(F39="","",IF(F39="Retard cotisation",'⚙️ PARAMÈTRES'!B8,IF(F39="Absence réunion",'⚙️ PARAMÈTRES'!B9,0)))</f>
        <v/>
      </c>
      <c r="H39" s="36"/>
      <c r="I39" s="23">
        <f t="shared" si="0"/>
        <v>0</v>
      </c>
    </row>
    <row r="40" spans="1:9" ht="19.5" customHeight="1" x14ac:dyDescent="0.3">
      <c r="A40" s="39" t="s">
        <v>455</v>
      </c>
      <c r="B40" s="32"/>
      <c r="C40" s="18" t="str">
        <f>IF(B40="","",IFERROR(VLOOKUP(B40,'👥 MEMBRES'!A:B,2,0),"?"))</f>
        <v/>
      </c>
      <c r="D40" s="18" t="str">
        <f>IF(B40="","",IFERROR(VLOOKUP(B40,'👥 MEMBRES'!A:C,3,0),"?"))</f>
        <v/>
      </c>
      <c r="E40" s="32"/>
      <c r="F40" s="32"/>
      <c r="G40" s="24" t="str">
        <f>IF(F40="","",IF(F40="Retard cotisation",'⚙️ PARAMÈTRES'!B8,IF(F40="Absence réunion",'⚙️ PARAMÈTRES'!B9,0)))</f>
        <v/>
      </c>
      <c r="H40" s="32"/>
      <c r="I40" s="23">
        <f t="shared" si="0"/>
        <v>0</v>
      </c>
    </row>
    <row r="41" spans="1:9" ht="19.5" customHeight="1" x14ac:dyDescent="0.3">
      <c r="A41" s="39" t="s">
        <v>456</v>
      </c>
      <c r="B41" s="36"/>
      <c r="C41" s="26" t="str">
        <f>IF(B41="","",IFERROR(VLOOKUP(B41,'👥 MEMBRES'!A:B,2,0),"?"))</f>
        <v/>
      </c>
      <c r="D41" s="26" t="str">
        <f>IF(B41="","",IFERROR(VLOOKUP(B41,'👥 MEMBRES'!A:C,3,0),"?"))</f>
        <v/>
      </c>
      <c r="E41" s="36"/>
      <c r="F41" s="36"/>
      <c r="G41" s="24" t="str">
        <f>IF(F41="","",IF(F41="Retard cotisation",'⚙️ PARAMÈTRES'!B8,IF(F41="Absence réunion",'⚙️ PARAMÈTRES'!B9,0)))</f>
        <v/>
      </c>
      <c r="H41" s="36"/>
      <c r="I41" s="23">
        <f t="shared" si="0"/>
        <v>0</v>
      </c>
    </row>
    <row r="42" spans="1:9" ht="19.5" customHeight="1" x14ac:dyDescent="0.3">
      <c r="A42" s="39" t="s">
        <v>457</v>
      </c>
      <c r="B42" s="32"/>
      <c r="C42" s="18" t="str">
        <f>IF(B42="","",IFERROR(VLOOKUP(B42,'👥 MEMBRES'!A:B,2,0),"?"))</f>
        <v/>
      </c>
      <c r="D42" s="18" t="str">
        <f>IF(B42="","",IFERROR(VLOOKUP(B42,'👥 MEMBRES'!A:C,3,0),"?"))</f>
        <v/>
      </c>
      <c r="E42" s="32"/>
      <c r="F42" s="32"/>
      <c r="G42" s="24" t="str">
        <f>IF(F42="","",IF(F42="Retard cotisation",'⚙️ PARAMÈTRES'!B8,IF(F42="Absence réunion",'⚙️ PARAMÈTRES'!B9,0)))</f>
        <v/>
      </c>
      <c r="H42" s="32"/>
      <c r="I42" s="23">
        <f t="shared" si="0"/>
        <v>0</v>
      </c>
    </row>
    <row r="43" spans="1:9" ht="19.5" customHeight="1" x14ac:dyDescent="0.3">
      <c r="A43" s="39" t="s">
        <v>458</v>
      </c>
      <c r="B43" s="36"/>
      <c r="C43" s="26" t="str">
        <f>IF(B43="","",IFERROR(VLOOKUP(B43,'👥 MEMBRES'!A:B,2,0),"?"))</f>
        <v/>
      </c>
      <c r="D43" s="26" t="str">
        <f>IF(B43="","",IFERROR(VLOOKUP(B43,'👥 MEMBRES'!A:C,3,0),"?"))</f>
        <v/>
      </c>
      <c r="E43" s="36"/>
      <c r="F43" s="36"/>
      <c r="G43" s="24" t="str">
        <f>IF(F43="","",IF(F43="Retard cotisation",'⚙️ PARAMÈTRES'!B8,IF(F43="Absence réunion",'⚙️ PARAMÈTRES'!B9,0)))</f>
        <v/>
      </c>
      <c r="H43" s="36"/>
      <c r="I43" s="23">
        <f t="shared" si="0"/>
        <v>0</v>
      </c>
    </row>
    <row r="44" spans="1:9" ht="19.5" customHeight="1" x14ac:dyDescent="0.3">
      <c r="A44" s="39" t="s">
        <v>459</v>
      </c>
      <c r="B44" s="32"/>
      <c r="C44" s="18" t="str">
        <f>IF(B44="","",IFERROR(VLOOKUP(B44,'👥 MEMBRES'!A:B,2,0),"?"))</f>
        <v/>
      </c>
      <c r="D44" s="18" t="str">
        <f>IF(B44="","",IFERROR(VLOOKUP(B44,'👥 MEMBRES'!A:C,3,0),"?"))</f>
        <v/>
      </c>
      <c r="E44" s="32"/>
      <c r="F44" s="32"/>
      <c r="G44" s="24" t="str">
        <f>IF(F44="","",IF(F44="Retard cotisation",'⚙️ PARAMÈTRES'!B8,IF(F44="Absence réunion",'⚙️ PARAMÈTRES'!B9,0)))</f>
        <v/>
      </c>
      <c r="H44" s="32"/>
      <c r="I44" s="23">
        <f t="shared" si="0"/>
        <v>0</v>
      </c>
    </row>
    <row r="45" spans="1:9" ht="19.5" customHeight="1" x14ac:dyDescent="0.3">
      <c r="A45" s="39" t="s">
        <v>460</v>
      </c>
      <c r="B45" s="36"/>
      <c r="C45" s="26" t="str">
        <f>IF(B45="","",IFERROR(VLOOKUP(B45,'👥 MEMBRES'!A:B,2,0),"?"))</f>
        <v/>
      </c>
      <c r="D45" s="26" t="str">
        <f>IF(B45="","",IFERROR(VLOOKUP(B45,'👥 MEMBRES'!A:C,3,0),"?"))</f>
        <v/>
      </c>
      <c r="E45" s="36"/>
      <c r="F45" s="36"/>
      <c r="G45" s="24" t="str">
        <f>IF(F45="","",IF(F45="Retard cotisation",'⚙️ PARAMÈTRES'!B8,IF(F45="Absence réunion",'⚙️ PARAMÈTRES'!B9,0)))</f>
        <v/>
      </c>
      <c r="H45" s="36"/>
      <c r="I45" s="23">
        <f t="shared" si="0"/>
        <v>0</v>
      </c>
    </row>
    <row r="46" spans="1:9" ht="19.5" customHeight="1" x14ac:dyDescent="0.3">
      <c r="A46" s="39" t="s">
        <v>461</v>
      </c>
      <c r="B46" s="32"/>
      <c r="C46" s="18" t="str">
        <f>IF(B46="","",IFERROR(VLOOKUP(B46,'👥 MEMBRES'!A:B,2,0),"?"))</f>
        <v/>
      </c>
      <c r="D46" s="18" t="str">
        <f>IF(B46="","",IFERROR(VLOOKUP(B46,'👥 MEMBRES'!A:C,3,0),"?"))</f>
        <v/>
      </c>
      <c r="E46" s="32"/>
      <c r="F46" s="32"/>
      <c r="G46" s="24" t="str">
        <f>IF(F46="","",IF(F46="Retard cotisation",'⚙️ PARAMÈTRES'!B8,IF(F46="Absence réunion",'⚙️ PARAMÈTRES'!B9,0)))</f>
        <v/>
      </c>
      <c r="H46" s="32"/>
      <c r="I46" s="23">
        <f t="shared" si="0"/>
        <v>0</v>
      </c>
    </row>
    <row r="47" spans="1:9" ht="19.5" customHeight="1" x14ac:dyDescent="0.3">
      <c r="A47" s="39" t="s">
        <v>462</v>
      </c>
      <c r="B47" s="36"/>
      <c r="C47" s="26" t="str">
        <f>IF(B47="","",IFERROR(VLOOKUP(B47,'👥 MEMBRES'!A:B,2,0),"?"))</f>
        <v/>
      </c>
      <c r="D47" s="26" t="str">
        <f>IF(B47="","",IFERROR(VLOOKUP(B47,'👥 MEMBRES'!A:C,3,0),"?"))</f>
        <v/>
      </c>
      <c r="E47" s="36"/>
      <c r="F47" s="36"/>
      <c r="G47" s="24" t="str">
        <f>IF(F47="","",IF(F47="Retard cotisation",'⚙️ PARAMÈTRES'!B8,IF(F47="Absence réunion",'⚙️ PARAMÈTRES'!B9,0)))</f>
        <v/>
      </c>
      <c r="H47" s="36"/>
      <c r="I47" s="23">
        <f t="shared" si="0"/>
        <v>0</v>
      </c>
    </row>
    <row r="48" spans="1:9" ht="19.5" customHeight="1" x14ac:dyDescent="0.3">
      <c r="A48" s="39" t="s">
        <v>463</v>
      </c>
      <c r="B48" s="32"/>
      <c r="C48" s="18" t="str">
        <f>IF(B48="","",IFERROR(VLOOKUP(B48,'👥 MEMBRES'!A:B,2,0),"?"))</f>
        <v/>
      </c>
      <c r="D48" s="18" t="str">
        <f>IF(B48="","",IFERROR(VLOOKUP(B48,'👥 MEMBRES'!A:C,3,0),"?"))</f>
        <v/>
      </c>
      <c r="E48" s="32"/>
      <c r="F48" s="32"/>
      <c r="G48" s="24" t="str">
        <f>IF(F48="","",IF(F48="Retard cotisation",'⚙️ PARAMÈTRES'!B8,IF(F48="Absence réunion",'⚙️ PARAMÈTRES'!B9,0)))</f>
        <v/>
      </c>
      <c r="H48" s="32"/>
      <c r="I48" s="23">
        <f t="shared" si="0"/>
        <v>0</v>
      </c>
    </row>
    <row r="49" spans="1:9" ht="19.5" customHeight="1" x14ac:dyDescent="0.3">
      <c r="A49" s="39" t="s">
        <v>464</v>
      </c>
      <c r="B49" s="36"/>
      <c r="C49" s="26" t="str">
        <f>IF(B49="","",IFERROR(VLOOKUP(B49,'👥 MEMBRES'!A:B,2,0),"?"))</f>
        <v/>
      </c>
      <c r="D49" s="26" t="str">
        <f>IF(B49="","",IFERROR(VLOOKUP(B49,'👥 MEMBRES'!A:C,3,0),"?"))</f>
        <v/>
      </c>
      <c r="E49" s="36"/>
      <c r="F49" s="36"/>
      <c r="G49" s="24" t="str">
        <f>IF(F49="","",IF(F49="Retard cotisation",'⚙️ PARAMÈTRES'!B8,IF(F49="Absence réunion",'⚙️ PARAMÈTRES'!B9,0)))</f>
        <v/>
      </c>
      <c r="H49" s="36"/>
      <c r="I49" s="23">
        <f t="shared" si="0"/>
        <v>0</v>
      </c>
    </row>
    <row r="50" spans="1:9" ht="19.5" customHeight="1" x14ac:dyDescent="0.3">
      <c r="A50" s="39" t="s">
        <v>465</v>
      </c>
      <c r="B50" s="32"/>
      <c r="C50" s="18" t="str">
        <f>IF(B50="","",IFERROR(VLOOKUP(B50,'👥 MEMBRES'!A:B,2,0),"?"))</f>
        <v/>
      </c>
      <c r="D50" s="18" t="str">
        <f>IF(B50="","",IFERROR(VLOOKUP(B50,'👥 MEMBRES'!A:C,3,0),"?"))</f>
        <v/>
      </c>
      <c r="E50" s="32"/>
      <c r="F50" s="32"/>
      <c r="G50" s="24" t="str">
        <f>IF(F50="","",IF(F50="Retard cotisation",'⚙️ PARAMÈTRES'!B8,IF(F50="Absence réunion",'⚙️ PARAMÈTRES'!B9,0)))</f>
        <v/>
      </c>
      <c r="H50" s="32"/>
      <c r="I50" s="23">
        <f t="shared" si="0"/>
        <v>0</v>
      </c>
    </row>
    <row r="51" spans="1:9" ht="19.5" customHeight="1" x14ac:dyDescent="0.3">
      <c r="A51" s="39" t="s">
        <v>466</v>
      </c>
      <c r="B51" s="36"/>
      <c r="C51" s="26" t="str">
        <f>IF(B51="","",IFERROR(VLOOKUP(B51,'👥 MEMBRES'!A:B,2,0),"?"))</f>
        <v/>
      </c>
      <c r="D51" s="26" t="str">
        <f>IF(B51="","",IFERROR(VLOOKUP(B51,'👥 MEMBRES'!A:C,3,0),"?"))</f>
        <v/>
      </c>
      <c r="E51" s="36"/>
      <c r="F51" s="36"/>
      <c r="G51" s="24" t="str">
        <f>IF(F51="","",IF(F51="Retard cotisation",'⚙️ PARAMÈTRES'!B8,IF(F51="Absence réunion",'⚙️ PARAMÈTRES'!B9,0)))</f>
        <v/>
      </c>
      <c r="H51" s="36"/>
      <c r="I51" s="23">
        <f t="shared" si="0"/>
        <v>0</v>
      </c>
    </row>
    <row r="52" spans="1:9" ht="19.5" customHeight="1" x14ac:dyDescent="0.3">
      <c r="A52" s="39" t="s">
        <v>467</v>
      </c>
      <c r="B52" s="32"/>
      <c r="C52" s="18" t="str">
        <f>IF(B52="","",IFERROR(VLOOKUP(B52,'👥 MEMBRES'!A:B,2,0),"?"))</f>
        <v/>
      </c>
      <c r="D52" s="18" t="str">
        <f>IF(B52="","",IFERROR(VLOOKUP(B52,'👥 MEMBRES'!A:C,3,0),"?"))</f>
        <v/>
      </c>
      <c r="E52" s="32"/>
      <c r="F52" s="32"/>
      <c r="G52" s="24" t="str">
        <f>IF(F52="","",IF(F52="Retard cotisation",'⚙️ PARAMÈTRES'!B8,IF(F52="Absence réunion",'⚙️ PARAMÈTRES'!B9,0)))</f>
        <v/>
      </c>
      <c r="H52" s="32"/>
      <c r="I52" s="23">
        <f t="shared" si="0"/>
        <v>0</v>
      </c>
    </row>
    <row r="53" spans="1:9" ht="19.5" customHeight="1" x14ac:dyDescent="0.3">
      <c r="A53" s="39" t="s">
        <v>468</v>
      </c>
      <c r="B53" s="36"/>
      <c r="C53" s="26" t="str">
        <f>IF(B53="","",IFERROR(VLOOKUP(B53,'👥 MEMBRES'!A:B,2,0),"?"))</f>
        <v/>
      </c>
      <c r="D53" s="26" t="str">
        <f>IF(B53="","",IFERROR(VLOOKUP(B53,'👥 MEMBRES'!A:C,3,0),"?"))</f>
        <v/>
      </c>
      <c r="E53" s="36"/>
      <c r="F53" s="36"/>
      <c r="G53" s="24" t="str">
        <f>IF(F53="","",IF(F53="Retard cotisation",'⚙️ PARAMÈTRES'!B8,IF(F53="Absence réunion",'⚙️ PARAMÈTRES'!B9,0)))</f>
        <v/>
      </c>
      <c r="H53" s="36"/>
      <c r="I53" s="23">
        <f t="shared" si="0"/>
        <v>0</v>
      </c>
    </row>
    <row r="54" spans="1:9" ht="19.5" customHeight="1" x14ac:dyDescent="0.3">
      <c r="A54" s="39" t="s">
        <v>469</v>
      </c>
      <c r="B54" s="32"/>
      <c r="C54" s="18" t="str">
        <f>IF(B54="","",IFERROR(VLOOKUP(B54,'👥 MEMBRES'!A:B,2,0),"?"))</f>
        <v/>
      </c>
      <c r="D54" s="18" t="str">
        <f>IF(B54="","",IFERROR(VLOOKUP(B54,'👥 MEMBRES'!A:C,3,0),"?"))</f>
        <v/>
      </c>
      <c r="E54" s="32"/>
      <c r="F54" s="32"/>
      <c r="G54" s="24" t="str">
        <f>IF(F54="","",IF(F54="Retard cotisation",'⚙️ PARAMÈTRES'!B8,IF(F54="Absence réunion",'⚙️ PARAMÈTRES'!B9,0)))</f>
        <v/>
      </c>
      <c r="H54" s="32"/>
      <c r="I54" s="23">
        <f t="shared" si="0"/>
        <v>0</v>
      </c>
    </row>
    <row r="55" spans="1:9" ht="19.5" customHeight="1" x14ac:dyDescent="0.3">
      <c r="A55" s="39" t="s">
        <v>470</v>
      </c>
      <c r="B55" s="36"/>
      <c r="C55" s="26" t="str">
        <f>IF(B55="","",IFERROR(VLOOKUP(B55,'👥 MEMBRES'!A:B,2,0),"?"))</f>
        <v/>
      </c>
      <c r="D55" s="26" t="str">
        <f>IF(B55="","",IFERROR(VLOOKUP(B55,'👥 MEMBRES'!A:C,3,0),"?"))</f>
        <v/>
      </c>
      <c r="E55" s="36"/>
      <c r="F55" s="36"/>
      <c r="G55" s="24" t="str">
        <f>IF(F55="","",IF(F55="Retard cotisation",'⚙️ PARAMÈTRES'!B8,IF(F55="Absence réunion",'⚙️ PARAMÈTRES'!B9,0)))</f>
        <v/>
      </c>
      <c r="H55" s="36"/>
      <c r="I55" s="23">
        <f t="shared" si="0"/>
        <v>0</v>
      </c>
    </row>
    <row r="56" spans="1:9" ht="19.5" customHeight="1" x14ac:dyDescent="0.3">
      <c r="A56" s="39" t="s">
        <v>471</v>
      </c>
      <c r="B56" s="32"/>
      <c r="C56" s="18" t="str">
        <f>IF(B56="","",IFERROR(VLOOKUP(B56,'👥 MEMBRES'!A:B,2,0),"?"))</f>
        <v/>
      </c>
      <c r="D56" s="18" t="str">
        <f>IF(B56="","",IFERROR(VLOOKUP(B56,'👥 MEMBRES'!A:C,3,0),"?"))</f>
        <v/>
      </c>
      <c r="E56" s="32"/>
      <c r="F56" s="32"/>
      <c r="G56" s="24" t="str">
        <f>IF(F56="","",IF(F56="Retard cotisation",'⚙️ PARAMÈTRES'!B8,IF(F56="Absence réunion",'⚙️ PARAMÈTRES'!B9,0)))</f>
        <v/>
      </c>
      <c r="H56" s="32"/>
      <c r="I56" s="23">
        <f t="shared" si="0"/>
        <v>0</v>
      </c>
    </row>
    <row r="57" spans="1:9" ht="19.5" customHeight="1" x14ac:dyDescent="0.3">
      <c r="A57" s="39" t="s">
        <v>472</v>
      </c>
      <c r="B57" s="36"/>
      <c r="C57" s="26" t="str">
        <f>IF(B57="","",IFERROR(VLOOKUP(B57,'👥 MEMBRES'!A:B,2,0),"?"))</f>
        <v/>
      </c>
      <c r="D57" s="26" t="str">
        <f>IF(B57="","",IFERROR(VLOOKUP(B57,'👥 MEMBRES'!A:C,3,0),"?"))</f>
        <v/>
      </c>
      <c r="E57" s="36"/>
      <c r="F57" s="36"/>
      <c r="G57" s="24" t="str">
        <f>IF(F57="","",IF(F57="Retard cotisation",'⚙️ PARAMÈTRES'!B8,IF(F57="Absence réunion",'⚙️ PARAMÈTRES'!B9,0)))</f>
        <v/>
      </c>
      <c r="H57" s="36"/>
      <c r="I57" s="23">
        <f t="shared" si="0"/>
        <v>0</v>
      </c>
    </row>
    <row r="58" spans="1:9" ht="19.5" customHeight="1" x14ac:dyDescent="0.3">
      <c r="A58" s="39" t="s">
        <v>473</v>
      </c>
      <c r="B58" s="32"/>
      <c r="C58" s="18" t="str">
        <f>IF(B58="","",IFERROR(VLOOKUP(B58,'👥 MEMBRES'!A:B,2,0),"?"))</f>
        <v/>
      </c>
      <c r="D58" s="18" t="str">
        <f>IF(B58="","",IFERROR(VLOOKUP(B58,'👥 MEMBRES'!A:C,3,0),"?"))</f>
        <v/>
      </c>
      <c r="E58" s="32"/>
      <c r="F58" s="32"/>
      <c r="G58" s="24" t="str">
        <f>IF(F58="","",IF(F58="Retard cotisation",'⚙️ PARAMÈTRES'!B8,IF(F58="Absence réunion",'⚙️ PARAMÈTRES'!B9,0)))</f>
        <v/>
      </c>
      <c r="H58" s="32"/>
      <c r="I58" s="23">
        <f t="shared" si="0"/>
        <v>0</v>
      </c>
    </row>
    <row r="59" spans="1:9" ht="19.5" customHeight="1" x14ac:dyDescent="0.3">
      <c r="A59" s="39" t="s">
        <v>474</v>
      </c>
      <c r="B59" s="36"/>
      <c r="C59" s="26" t="str">
        <f>IF(B59="","",IFERROR(VLOOKUP(B59,'👥 MEMBRES'!A:B,2,0),"?"))</f>
        <v/>
      </c>
      <c r="D59" s="26" t="str">
        <f>IF(B59="","",IFERROR(VLOOKUP(B59,'👥 MEMBRES'!A:C,3,0),"?"))</f>
        <v/>
      </c>
      <c r="E59" s="36"/>
      <c r="F59" s="36"/>
      <c r="G59" s="24" t="str">
        <f>IF(F59="","",IF(F59="Retard cotisation",'⚙️ PARAMÈTRES'!B8,IF(F59="Absence réunion",'⚙️ PARAMÈTRES'!B9,0)))</f>
        <v/>
      </c>
      <c r="H59" s="36"/>
      <c r="I59" s="23">
        <f t="shared" si="0"/>
        <v>0</v>
      </c>
    </row>
    <row r="60" spans="1:9" ht="19.5" customHeight="1" x14ac:dyDescent="0.3">
      <c r="A60" s="39" t="s">
        <v>475</v>
      </c>
      <c r="B60" s="32"/>
      <c r="C60" s="18" t="str">
        <f>IF(B60="","",IFERROR(VLOOKUP(B60,'👥 MEMBRES'!A:B,2,0),"?"))</f>
        <v/>
      </c>
      <c r="D60" s="18" t="str">
        <f>IF(B60="","",IFERROR(VLOOKUP(B60,'👥 MEMBRES'!A:C,3,0),"?"))</f>
        <v/>
      </c>
      <c r="E60" s="32"/>
      <c r="F60" s="32"/>
      <c r="G60" s="24" t="str">
        <f>IF(F60="","",IF(F60="Retard cotisation",'⚙️ PARAMÈTRES'!B8,IF(F60="Absence réunion",'⚙️ PARAMÈTRES'!B9,0)))</f>
        <v/>
      </c>
      <c r="H60" s="32"/>
      <c r="I60" s="23">
        <f t="shared" si="0"/>
        <v>0</v>
      </c>
    </row>
    <row r="61" spans="1:9" ht="19.5" customHeight="1" x14ac:dyDescent="0.3">
      <c r="A61" s="39" t="s">
        <v>476</v>
      </c>
      <c r="B61" s="36"/>
      <c r="C61" s="26" t="str">
        <f>IF(B61="","",IFERROR(VLOOKUP(B61,'👥 MEMBRES'!A:B,2,0),"?"))</f>
        <v/>
      </c>
      <c r="D61" s="26" t="str">
        <f>IF(B61="","",IFERROR(VLOOKUP(B61,'👥 MEMBRES'!A:C,3,0),"?"))</f>
        <v/>
      </c>
      <c r="E61" s="36"/>
      <c r="F61" s="36"/>
      <c r="G61" s="24" t="str">
        <f>IF(F61="","",IF(F61="Retard cotisation",'⚙️ PARAMÈTRES'!B8,IF(F61="Absence réunion",'⚙️ PARAMÈTRES'!B9,0)))</f>
        <v/>
      </c>
      <c r="H61" s="36"/>
      <c r="I61" s="23">
        <f t="shared" si="0"/>
        <v>0</v>
      </c>
    </row>
    <row r="62" spans="1:9" ht="19.5" customHeight="1" x14ac:dyDescent="0.3">
      <c r="A62" s="39" t="s">
        <v>477</v>
      </c>
      <c r="B62" s="32"/>
      <c r="C62" s="18" t="str">
        <f>IF(B62="","",IFERROR(VLOOKUP(B62,'👥 MEMBRES'!A:B,2,0),"?"))</f>
        <v/>
      </c>
      <c r="D62" s="18" t="str">
        <f>IF(B62="","",IFERROR(VLOOKUP(B62,'👥 MEMBRES'!A:C,3,0),"?"))</f>
        <v/>
      </c>
      <c r="E62" s="32"/>
      <c r="F62" s="32"/>
      <c r="G62" s="24" t="str">
        <f>IF(F62="","",IF(F62="Retard cotisation",'⚙️ PARAMÈTRES'!B8,IF(F62="Absence réunion",'⚙️ PARAMÈTRES'!B9,0)))</f>
        <v/>
      </c>
      <c r="H62" s="32"/>
      <c r="I62" s="23">
        <f t="shared" si="0"/>
        <v>0</v>
      </c>
    </row>
    <row r="63" spans="1:9" ht="19.5" customHeight="1" x14ac:dyDescent="0.3">
      <c r="A63" s="39" t="s">
        <v>478</v>
      </c>
      <c r="B63" s="36"/>
      <c r="C63" s="26" t="str">
        <f>IF(B63="","",IFERROR(VLOOKUP(B63,'👥 MEMBRES'!A:B,2,0),"?"))</f>
        <v/>
      </c>
      <c r="D63" s="26" t="str">
        <f>IF(B63="","",IFERROR(VLOOKUP(B63,'👥 MEMBRES'!A:C,3,0),"?"))</f>
        <v/>
      </c>
      <c r="E63" s="36"/>
      <c r="F63" s="36"/>
      <c r="G63" s="24" t="str">
        <f>IF(F63="","",IF(F63="Retard cotisation",'⚙️ PARAMÈTRES'!B8,IF(F63="Absence réunion",'⚙️ PARAMÈTRES'!B9,0)))</f>
        <v/>
      </c>
      <c r="H63" s="36"/>
      <c r="I63" s="23">
        <f t="shared" si="0"/>
        <v>0</v>
      </c>
    </row>
    <row r="64" spans="1:9" ht="19.5" customHeight="1" x14ac:dyDescent="0.3">
      <c r="A64" s="39" t="s">
        <v>479</v>
      </c>
      <c r="B64" s="32"/>
      <c r="C64" s="18" t="str">
        <f>IF(B64="","",IFERROR(VLOOKUP(B64,'👥 MEMBRES'!A:B,2,0),"?"))</f>
        <v/>
      </c>
      <c r="D64" s="18" t="str">
        <f>IF(B64="","",IFERROR(VLOOKUP(B64,'👥 MEMBRES'!A:C,3,0),"?"))</f>
        <v/>
      </c>
      <c r="E64" s="32"/>
      <c r="F64" s="32"/>
      <c r="G64" s="24" t="str">
        <f>IF(F64="","",IF(F64="Retard cotisation",'⚙️ PARAMÈTRES'!B8,IF(F64="Absence réunion",'⚙️ PARAMÈTRES'!B9,0)))</f>
        <v/>
      </c>
      <c r="H64" s="32"/>
      <c r="I64" s="23">
        <f t="shared" si="0"/>
        <v>0</v>
      </c>
    </row>
    <row r="65" spans="1:9" ht="19.5" customHeight="1" x14ac:dyDescent="0.3">
      <c r="A65" s="39" t="s">
        <v>480</v>
      </c>
      <c r="B65" s="36"/>
      <c r="C65" s="26" t="str">
        <f>IF(B65="","",IFERROR(VLOOKUP(B65,'👥 MEMBRES'!A:B,2,0),"?"))</f>
        <v/>
      </c>
      <c r="D65" s="26" t="str">
        <f>IF(B65="","",IFERROR(VLOOKUP(B65,'👥 MEMBRES'!A:C,3,0),"?"))</f>
        <v/>
      </c>
      <c r="E65" s="36"/>
      <c r="F65" s="36"/>
      <c r="G65" s="24" t="str">
        <f>IF(F65="","",IF(F65="Retard cotisation",'⚙️ PARAMÈTRES'!B8,IF(F65="Absence réunion",'⚙️ PARAMÈTRES'!B9,0)))</f>
        <v/>
      </c>
      <c r="H65" s="36"/>
      <c r="I65" s="23">
        <f t="shared" si="0"/>
        <v>0</v>
      </c>
    </row>
    <row r="66" spans="1:9" ht="19.5" customHeight="1" x14ac:dyDescent="0.3">
      <c r="A66" s="39" t="s">
        <v>481</v>
      </c>
      <c r="B66" s="32"/>
      <c r="C66" s="18" t="str">
        <f>IF(B66="","",IFERROR(VLOOKUP(B66,'👥 MEMBRES'!A:B,2,0),"?"))</f>
        <v/>
      </c>
      <c r="D66" s="18" t="str">
        <f>IF(B66="","",IFERROR(VLOOKUP(B66,'👥 MEMBRES'!A:C,3,0),"?"))</f>
        <v/>
      </c>
      <c r="E66" s="32"/>
      <c r="F66" s="32"/>
      <c r="G66" s="24" t="str">
        <f>IF(F66="","",IF(F66="Retard cotisation",'⚙️ PARAMÈTRES'!B8,IF(F66="Absence réunion",'⚙️ PARAMÈTRES'!B9,0)))</f>
        <v/>
      </c>
      <c r="H66" s="32"/>
      <c r="I66" s="23">
        <f t="shared" si="0"/>
        <v>0</v>
      </c>
    </row>
    <row r="67" spans="1:9" ht="19.5" customHeight="1" x14ac:dyDescent="0.3">
      <c r="A67" s="39" t="s">
        <v>482</v>
      </c>
      <c r="B67" s="36"/>
      <c r="C67" s="26" t="str">
        <f>IF(B67="","",IFERROR(VLOOKUP(B67,'👥 MEMBRES'!A:B,2,0),"?"))</f>
        <v/>
      </c>
      <c r="D67" s="26" t="str">
        <f>IF(B67="","",IFERROR(VLOOKUP(B67,'👥 MEMBRES'!A:C,3,0),"?"))</f>
        <v/>
      </c>
      <c r="E67" s="36"/>
      <c r="F67" s="36"/>
      <c r="G67" s="24" t="str">
        <f>IF(F67="","",IF(F67="Retard cotisation",'⚙️ PARAMÈTRES'!B8,IF(F67="Absence réunion",'⚙️ PARAMÈTRES'!B9,0)))</f>
        <v/>
      </c>
      <c r="H67" s="36"/>
      <c r="I67" s="23">
        <f t="shared" si="0"/>
        <v>0</v>
      </c>
    </row>
    <row r="68" spans="1:9" ht="19.5" customHeight="1" x14ac:dyDescent="0.3">
      <c r="A68" s="39" t="s">
        <v>483</v>
      </c>
      <c r="B68" s="32"/>
      <c r="C68" s="18" t="str">
        <f>IF(B68="","",IFERROR(VLOOKUP(B68,'👥 MEMBRES'!A:B,2,0),"?"))</f>
        <v/>
      </c>
      <c r="D68" s="18" t="str">
        <f>IF(B68="","",IFERROR(VLOOKUP(B68,'👥 MEMBRES'!A:C,3,0),"?"))</f>
        <v/>
      </c>
      <c r="E68" s="32"/>
      <c r="F68" s="32"/>
      <c r="G68" s="24" t="str">
        <f>IF(F68="","",IF(F68="Retard cotisation",'⚙️ PARAMÈTRES'!B8,IF(F68="Absence réunion",'⚙️ PARAMÈTRES'!B9,0)))</f>
        <v/>
      </c>
      <c r="H68" s="32"/>
      <c r="I68" s="23">
        <f t="shared" ref="I68:I131" si="1">IF(G68="",0,IF(H68="Oui",0,G68))</f>
        <v>0</v>
      </c>
    </row>
    <row r="69" spans="1:9" ht="19.5" customHeight="1" x14ac:dyDescent="0.3">
      <c r="A69" s="39" t="s">
        <v>484</v>
      </c>
      <c r="B69" s="36"/>
      <c r="C69" s="26" t="str">
        <f>IF(B69="","",IFERROR(VLOOKUP(B69,'👥 MEMBRES'!A:B,2,0),"?"))</f>
        <v/>
      </c>
      <c r="D69" s="26" t="str">
        <f>IF(B69="","",IFERROR(VLOOKUP(B69,'👥 MEMBRES'!A:C,3,0),"?"))</f>
        <v/>
      </c>
      <c r="E69" s="36"/>
      <c r="F69" s="36"/>
      <c r="G69" s="24" t="str">
        <f>IF(F69="","",IF(F69="Retard cotisation",'⚙️ PARAMÈTRES'!B8,IF(F69="Absence réunion",'⚙️ PARAMÈTRES'!B9,0)))</f>
        <v/>
      </c>
      <c r="H69" s="36"/>
      <c r="I69" s="23">
        <f t="shared" si="1"/>
        <v>0</v>
      </c>
    </row>
    <row r="70" spans="1:9" ht="19.5" customHeight="1" x14ac:dyDescent="0.3">
      <c r="A70" s="39" t="s">
        <v>485</v>
      </c>
      <c r="B70" s="32"/>
      <c r="C70" s="18" t="str">
        <f>IF(B70="","",IFERROR(VLOOKUP(B70,'👥 MEMBRES'!A:B,2,0),"?"))</f>
        <v/>
      </c>
      <c r="D70" s="18" t="str">
        <f>IF(B70="","",IFERROR(VLOOKUP(B70,'👥 MEMBRES'!A:C,3,0),"?"))</f>
        <v/>
      </c>
      <c r="E70" s="32"/>
      <c r="F70" s="32"/>
      <c r="G70" s="24" t="str">
        <f>IF(F70="","",IF(F70="Retard cotisation",'⚙️ PARAMÈTRES'!B8,IF(F70="Absence réunion",'⚙️ PARAMÈTRES'!B9,0)))</f>
        <v/>
      </c>
      <c r="H70" s="32"/>
      <c r="I70" s="23">
        <f t="shared" si="1"/>
        <v>0</v>
      </c>
    </row>
    <row r="71" spans="1:9" ht="19.5" customHeight="1" x14ac:dyDescent="0.3">
      <c r="A71" s="39" t="s">
        <v>486</v>
      </c>
      <c r="B71" s="36"/>
      <c r="C71" s="26" t="str">
        <f>IF(B71="","",IFERROR(VLOOKUP(B71,'👥 MEMBRES'!A:B,2,0),"?"))</f>
        <v/>
      </c>
      <c r="D71" s="26" t="str">
        <f>IF(B71="","",IFERROR(VLOOKUP(B71,'👥 MEMBRES'!A:C,3,0),"?"))</f>
        <v/>
      </c>
      <c r="E71" s="36"/>
      <c r="F71" s="36"/>
      <c r="G71" s="24" t="str">
        <f>IF(F71="","",IF(F71="Retard cotisation",'⚙️ PARAMÈTRES'!B8,IF(F71="Absence réunion",'⚙️ PARAMÈTRES'!B9,0)))</f>
        <v/>
      </c>
      <c r="H71" s="36"/>
      <c r="I71" s="23">
        <f t="shared" si="1"/>
        <v>0</v>
      </c>
    </row>
    <row r="72" spans="1:9" ht="19.5" customHeight="1" x14ac:dyDescent="0.3">
      <c r="A72" s="39" t="s">
        <v>487</v>
      </c>
      <c r="B72" s="32"/>
      <c r="C72" s="18" t="str">
        <f>IF(B72="","",IFERROR(VLOOKUP(B72,'👥 MEMBRES'!A:B,2,0),"?"))</f>
        <v/>
      </c>
      <c r="D72" s="18" t="str">
        <f>IF(B72="","",IFERROR(VLOOKUP(B72,'👥 MEMBRES'!A:C,3,0),"?"))</f>
        <v/>
      </c>
      <c r="E72" s="32"/>
      <c r="F72" s="32"/>
      <c r="G72" s="24" t="str">
        <f>IF(F72="","",IF(F72="Retard cotisation",'⚙️ PARAMÈTRES'!B8,IF(F72="Absence réunion",'⚙️ PARAMÈTRES'!B9,0)))</f>
        <v/>
      </c>
      <c r="H72" s="32"/>
      <c r="I72" s="23">
        <f t="shared" si="1"/>
        <v>0</v>
      </c>
    </row>
    <row r="73" spans="1:9" ht="19.5" customHeight="1" x14ac:dyDescent="0.3">
      <c r="A73" s="39" t="s">
        <v>488</v>
      </c>
      <c r="B73" s="36"/>
      <c r="C73" s="26" t="str">
        <f>IF(B73="","",IFERROR(VLOOKUP(B73,'👥 MEMBRES'!A:B,2,0),"?"))</f>
        <v/>
      </c>
      <c r="D73" s="26" t="str">
        <f>IF(B73="","",IFERROR(VLOOKUP(B73,'👥 MEMBRES'!A:C,3,0),"?"))</f>
        <v/>
      </c>
      <c r="E73" s="36"/>
      <c r="F73" s="36"/>
      <c r="G73" s="24" t="str">
        <f>IF(F73="","",IF(F73="Retard cotisation",'⚙️ PARAMÈTRES'!B8,IF(F73="Absence réunion",'⚙️ PARAMÈTRES'!B9,0)))</f>
        <v/>
      </c>
      <c r="H73" s="36"/>
      <c r="I73" s="23">
        <f t="shared" si="1"/>
        <v>0</v>
      </c>
    </row>
    <row r="74" spans="1:9" ht="19.5" customHeight="1" x14ac:dyDescent="0.3">
      <c r="A74" s="39" t="s">
        <v>489</v>
      </c>
      <c r="B74" s="32"/>
      <c r="C74" s="18" t="str">
        <f>IF(B74="","",IFERROR(VLOOKUP(B74,'👥 MEMBRES'!A:B,2,0),"?"))</f>
        <v/>
      </c>
      <c r="D74" s="18" t="str">
        <f>IF(B74="","",IFERROR(VLOOKUP(B74,'👥 MEMBRES'!A:C,3,0),"?"))</f>
        <v/>
      </c>
      <c r="E74" s="32"/>
      <c r="F74" s="32"/>
      <c r="G74" s="24" t="str">
        <f>IF(F74="","",IF(F74="Retard cotisation",'⚙️ PARAMÈTRES'!B8,IF(F74="Absence réunion",'⚙️ PARAMÈTRES'!B9,0)))</f>
        <v/>
      </c>
      <c r="H74" s="32"/>
      <c r="I74" s="23">
        <f t="shared" si="1"/>
        <v>0</v>
      </c>
    </row>
    <row r="75" spans="1:9" ht="19.5" customHeight="1" x14ac:dyDescent="0.3">
      <c r="A75" s="39" t="s">
        <v>490</v>
      </c>
      <c r="B75" s="36"/>
      <c r="C75" s="26" t="str">
        <f>IF(B75="","",IFERROR(VLOOKUP(B75,'👥 MEMBRES'!A:B,2,0),"?"))</f>
        <v/>
      </c>
      <c r="D75" s="26" t="str">
        <f>IF(B75="","",IFERROR(VLOOKUP(B75,'👥 MEMBRES'!A:C,3,0),"?"))</f>
        <v/>
      </c>
      <c r="E75" s="36"/>
      <c r="F75" s="36"/>
      <c r="G75" s="24" t="str">
        <f>IF(F75="","",IF(F75="Retard cotisation",'⚙️ PARAMÈTRES'!B8,IF(F75="Absence réunion",'⚙️ PARAMÈTRES'!B9,0)))</f>
        <v/>
      </c>
      <c r="H75" s="36"/>
      <c r="I75" s="23">
        <f t="shared" si="1"/>
        <v>0</v>
      </c>
    </row>
    <row r="76" spans="1:9" ht="19.5" customHeight="1" x14ac:dyDescent="0.3">
      <c r="A76" s="39" t="s">
        <v>491</v>
      </c>
      <c r="B76" s="32"/>
      <c r="C76" s="18" t="str">
        <f>IF(B76="","",IFERROR(VLOOKUP(B76,'👥 MEMBRES'!A:B,2,0),"?"))</f>
        <v/>
      </c>
      <c r="D76" s="18" t="str">
        <f>IF(B76="","",IFERROR(VLOOKUP(B76,'👥 MEMBRES'!A:C,3,0),"?"))</f>
        <v/>
      </c>
      <c r="E76" s="32"/>
      <c r="F76" s="32"/>
      <c r="G76" s="24" t="str">
        <f>IF(F76="","",IF(F76="Retard cotisation",'⚙️ PARAMÈTRES'!B8,IF(F76="Absence réunion",'⚙️ PARAMÈTRES'!B9,0)))</f>
        <v/>
      </c>
      <c r="H76" s="32"/>
      <c r="I76" s="23">
        <f t="shared" si="1"/>
        <v>0</v>
      </c>
    </row>
    <row r="77" spans="1:9" ht="19.5" customHeight="1" x14ac:dyDescent="0.3">
      <c r="A77" s="39" t="s">
        <v>492</v>
      </c>
      <c r="B77" s="36"/>
      <c r="C77" s="26" t="str">
        <f>IF(B77="","",IFERROR(VLOOKUP(B77,'👥 MEMBRES'!A:B,2,0),"?"))</f>
        <v/>
      </c>
      <c r="D77" s="26" t="str">
        <f>IF(B77="","",IFERROR(VLOOKUP(B77,'👥 MEMBRES'!A:C,3,0),"?"))</f>
        <v/>
      </c>
      <c r="E77" s="36"/>
      <c r="F77" s="36"/>
      <c r="G77" s="24" t="str">
        <f>IF(F77="","",IF(F77="Retard cotisation",'⚙️ PARAMÈTRES'!B8,IF(F77="Absence réunion",'⚙️ PARAMÈTRES'!B9,0)))</f>
        <v/>
      </c>
      <c r="H77" s="36"/>
      <c r="I77" s="23">
        <f t="shared" si="1"/>
        <v>0</v>
      </c>
    </row>
    <row r="78" spans="1:9" ht="19.5" customHeight="1" x14ac:dyDescent="0.3">
      <c r="A78" s="39" t="s">
        <v>493</v>
      </c>
      <c r="B78" s="32"/>
      <c r="C78" s="18" t="str">
        <f>IF(B78="","",IFERROR(VLOOKUP(B78,'👥 MEMBRES'!A:B,2,0),"?"))</f>
        <v/>
      </c>
      <c r="D78" s="18" t="str">
        <f>IF(B78="","",IFERROR(VLOOKUP(B78,'👥 MEMBRES'!A:C,3,0),"?"))</f>
        <v/>
      </c>
      <c r="E78" s="32"/>
      <c r="F78" s="32"/>
      <c r="G78" s="24" t="str">
        <f>IF(F78="","",IF(F78="Retard cotisation",'⚙️ PARAMÈTRES'!B8,IF(F78="Absence réunion",'⚙️ PARAMÈTRES'!B9,0)))</f>
        <v/>
      </c>
      <c r="H78" s="32"/>
      <c r="I78" s="23">
        <f t="shared" si="1"/>
        <v>0</v>
      </c>
    </row>
    <row r="79" spans="1:9" ht="19.5" customHeight="1" x14ac:dyDescent="0.3">
      <c r="A79" s="39" t="s">
        <v>494</v>
      </c>
      <c r="B79" s="36"/>
      <c r="C79" s="26" t="str">
        <f>IF(B79="","",IFERROR(VLOOKUP(B79,'👥 MEMBRES'!A:B,2,0),"?"))</f>
        <v/>
      </c>
      <c r="D79" s="26" t="str">
        <f>IF(B79="","",IFERROR(VLOOKUP(B79,'👥 MEMBRES'!A:C,3,0),"?"))</f>
        <v/>
      </c>
      <c r="E79" s="36"/>
      <c r="F79" s="36"/>
      <c r="G79" s="24" t="str">
        <f>IF(F79="","",IF(F79="Retard cotisation",'⚙️ PARAMÈTRES'!B8,IF(F79="Absence réunion",'⚙️ PARAMÈTRES'!B9,0)))</f>
        <v/>
      </c>
      <c r="H79" s="36"/>
      <c r="I79" s="23">
        <f t="shared" si="1"/>
        <v>0</v>
      </c>
    </row>
    <row r="80" spans="1:9" ht="19.5" customHeight="1" x14ac:dyDescent="0.3">
      <c r="A80" s="39" t="s">
        <v>495</v>
      </c>
      <c r="B80" s="32"/>
      <c r="C80" s="18" t="str">
        <f>IF(B80="","",IFERROR(VLOOKUP(B80,'👥 MEMBRES'!A:B,2,0),"?"))</f>
        <v/>
      </c>
      <c r="D80" s="18" t="str">
        <f>IF(B80="","",IFERROR(VLOOKUP(B80,'👥 MEMBRES'!A:C,3,0),"?"))</f>
        <v/>
      </c>
      <c r="E80" s="32"/>
      <c r="F80" s="32"/>
      <c r="G80" s="24" t="str">
        <f>IF(F80="","",IF(F80="Retard cotisation",'⚙️ PARAMÈTRES'!B8,IF(F80="Absence réunion",'⚙️ PARAMÈTRES'!B9,0)))</f>
        <v/>
      </c>
      <c r="H80" s="32"/>
      <c r="I80" s="23">
        <f t="shared" si="1"/>
        <v>0</v>
      </c>
    </row>
    <row r="81" spans="1:9" ht="19.5" customHeight="1" x14ac:dyDescent="0.3">
      <c r="A81" s="39" t="s">
        <v>496</v>
      </c>
      <c r="B81" s="36"/>
      <c r="C81" s="26" t="str">
        <f>IF(B81="","",IFERROR(VLOOKUP(B81,'👥 MEMBRES'!A:B,2,0),"?"))</f>
        <v/>
      </c>
      <c r="D81" s="26" t="str">
        <f>IF(B81="","",IFERROR(VLOOKUP(B81,'👥 MEMBRES'!A:C,3,0),"?"))</f>
        <v/>
      </c>
      <c r="E81" s="36"/>
      <c r="F81" s="36"/>
      <c r="G81" s="24" t="str">
        <f>IF(F81="","",IF(F81="Retard cotisation",'⚙️ PARAMÈTRES'!B8,IF(F81="Absence réunion",'⚙️ PARAMÈTRES'!B9,0)))</f>
        <v/>
      </c>
      <c r="H81" s="36"/>
      <c r="I81" s="23">
        <f t="shared" si="1"/>
        <v>0</v>
      </c>
    </row>
    <row r="82" spans="1:9" ht="19.5" customHeight="1" x14ac:dyDescent="0.3">
      <c r="A82" s="39" t="s">
        <v>497</v>
      </c>
      <c r="B82" s="32"/>
      <c r="C82" s="18" t="str">
        <f>IF(B82="","",IFERROR(VLOOKUP(B82,'👥 MEMBRES'!A:B,2,0),"?"))</f>
        <v/>
      </c>
      <c r="D82" s="18" t="str">
        <f>IF(B82="","",IFERROR(VLOOKUP(B82,'👥 MEMBRES'!A:C,3,0),"?"))</f>
        <v/>
      </c>
      <c r="E82" s="32"/>
      <c r="F82" s="32"/>
      <c r="G82" s="24" t="str">
        <f>IF(F82="","",IF(F82="Retard cotisation",'⚙️ PARAMÈTRES'!B8,IF(F82="Absence réunion",'⚙️ PARAMÈTRES'!B9,0)))</f>
        <v/>
      </c>
      <c r="H82" s="32"/>
      <c r="I82" s="23">
        <f t="shared" si="1"/>
        <v>0</v>
      </c>
    </row>
    <row r="83" spans="1:9" ht="19.5" customHeight="1" x14ac:dyDescent="0.3">
      <c r="A83" s="39" t="s">
        <v>498</v>
      </c>
      <c r="B83" s="36"/>
      <c r="C83" s="26" t="str">
        <f>IF(B83="","",IFERROR(VLOOKUP(B83,'👥 MEMBRES'!A:B,2,0),"?"))</f>
        <v/>
      </c>
      <c r="D83" s="26" t="str">
        <f>IF(B83="","",IFERROR(VLOOKUP(B83,'👥 MEMBRES'!A:C,3,0),"?"))</f>
        <v/>
      </c>
      <c r="E83" s="36"/>
      <c r="F83" s="36"/>
      <c r="G83" s="24" t="str">
        <f>IF(F83="","",IF(F83="Retard cotisation",'⚙️ PARAMÈTRES'!B8,IF(F83="Absence réunion",'⚙️ PARAMÈTRES'!B9,0)))</f>
        <v/>
      </c>
      <c r="H83" s="36"/>
      <c r="I83" s="23">
        <f t="shared" si="1"/>
        <v>0</v>
      </c>
    </row>
    <row r="84" spans="1:9" ht="19.5" customHeight="1" x14ac:dyDescent="0.3">
      <c r="A84" s="39" t="s">
        <v>499</v>
      </c>
      <c r="B84" s="32"/>
      <c r="C84" s="18" t="str">
        <f>IF(B84="","",IFERROR(VLOOKUP(B84,'👥 MEMBRES'!A:B,2,0),"?"))</f>
        <v/>
      </c>
      <c r="D84" s="18" t="str">
        <f>IF(B84="","",IFERROR(VLOOKUP(B84,'👥 MEMBRES'!A:C,3,0),"?"))</f>
        <v/>
      </c>
      <c r="E84" s="32"/>
      <c r="F84" s="32"/>
      <c r="G84" s="24" t="str">
        <f>IF(F84="","",IF(F84="Retard cotisation",'⚙️ PARAMÈTRES'!B8,IF(F84="Absence réunion",'⚙️ PARAMÈTRES'!B9,0)))</f>
        <v/>
      </c>
      <c r="H84" s="32"/>
      <c r="I84" s="23">
        <f t="shared" si="1"/>
        <v>0</v>
      </c>
    </row>
    <row r="85" spans="1:9" ht="19.5" customHeight="1" x14ac:dyDescent="0.3">
      <c r="A85" s="39" t="s">
        <v>500</v>
      </c>
      <c r="B85" s="36"/>
      <c r="C85" s="26" t="str">
        <f>IF(B85="","",IFERROR(VLOOKUP(B85,'👥 MEMBRES'!A:B,2,0),"?"))</f>
        <v/>
      </c>
      <c r="D85" s="26" t="str">
        <f>IF(B85="","",IFERROR(VLOOKUP(B85,'👥 MEMBRES'!A:C,3,0),"?"))</f>
        <v/>
      </c>
      <c r="E85" s="36"/>
      <c r="F85" s="36"/>
      <c r="G85" s="24" t="str">
        <f>IF(F85="","",IF(F85="Retard cotisation",'⚙️ PARAMÈTRES'!B8,IF(F85="Absence réunion",'⚙️ PARAMÈTRES'!B9,0)))</f>
        <v/>
      </c>
      <c r="H85" s="36"/>
      <c r="I85" s="23">
        <f t="shared" si="1"/>
        <v>0</v>
      </c>
    </row>
    <row r="86" spans="1:9" ht="19.5" customHeight="1" x14ac:dyDescent="0.3">
      <c r="A86" s="39" t="s">
        <v>501</v>
      </c>
      <c r="B86" s="32"/>
      <c r="C86" s="18" t="str">
        <f>IF(B86="","",IFERROR(VLOOKUP(B86,'👥 MEMBRES'!A:B,2,0),"?"))</f>
        <v/>
      </c>
      <c r="D86" s="18" t="str">
        <f>IF(B86="","",IFERROR(VLOOKUP(B86,'👥 MEMBRES'!A:C,3,0),"?"))</f>
        <v/>
      </c>
      <c r="E86" s="32"/>
      <c r="F86" s="32"/>
      <c r="G86" s="24" t="str">
        <f>IF(F86="","",IF(F86="Retard cotisation",'⚙️ PARAMÈTRES'!B8,IF(F86="Absence réunion",'⚙️ PARAMÈTRES'!B9,0)))</f>
        <v/>
      </c>
      <c r="H86" s="32"/>
      <c r="I86" s="23">
        <f t="shared" si="1"/>
        <v>0</v>
      </c>
    </row>
    <row r="87" spans="1:9" ht="19.5" customHeight="1" x14ac:dyDescent="0.3">
      <c r="A87" s="39" t="s">
        <v>502</v>
      </c>
      <c r="B87" s="36"/>
      <c r="C87" s="26" t="str">
        <f>IF(B87="","",IFERROR(VLOOKUP(B87,'👥 MEMBRES'!A:B,2,0),"?"))</f>
        <v/>
      </c>
      <c r="D87" s="26" t="str">
        <f>IF(B87="","",IFERROR(VLOOKUP(B87,'👥 MEMBRES'!A:C,3,0),"?"))</f>
        <v/>
      </c>
      <c r="E87" s="36"/>
      <c r="F87" s="36"/>
      <c r="G87" s="24" t="str">
        <f>IF(F87="","",IF(F87="Retard cotisation",'⚙️ PARAMÈTRES'!B8,IF(F87="Absence réunion",'⚙️ PARAMÈTRES'!B9,0)))</f>
        <v/>
      </c>
      <c r="H87" s="36"/>
      <c r="I87" s="23">
        <f t="shared" si="1"/>
        <v>0</v>
      </c>
    </row>
    <row r="88" spans="1:9" ht="19.5" customHeight="1" x14ac:dyDescent="0.3">
      <c r="A88" s="39" t="s">
        <v>503</v>
      </c>
      <c r="B88" s="32"/>
      <c r="C88" s="18" t="str">
        <f>IF(B88="","",IFERROR(VLOOKUP(B88,'👥 MEMBRES'!A:B,2,0),"?"))</f>
        <v/>
      </c>
      <c r="D88" s="18" t="str">
        <f>IF(B88="","",IFERROR(VLOOKUP(B88,'👥 MEMBRES'!A:C,3,0),"?"))</f>
        <v/>
      </c>
      <c r="E88" s="32"/>
      <c r="F88" s="32"/>
      <c r="G88" s="24" t="str">
        <f>IF(F88="","",IF(F88="Retard cotisation",'⚙️ PARAMÈTRES'!B8,IF(F88="Absence réunion",'⚙️ PARAMÈTRES'!B9,0)))</f>
        <v/>
      </c>
      <c r="H88" s="32"/>
      <c r="I88" s="23">
        <f t="shared" si="1"/>
        <v>0</v>
      </c>
    </row>
    <row r="89" spans="1:9" ht="19.5" customHeight="1" x14ac:dyDescent="0.3">
      <c r="A89" s="39" t="s">
        <v>504</v>
      </c>
      <c r="B89" s="36"/>
      <c r="C89" s="26" t="str">
        <f>IF(B89="","",IFERROR(VLOOKUP(B89,'👥 MEMBRES'!A:B,2,0),"?"))</f>
        <v/>
      </c>
      <c r="D89" s="26" t="str">
        <f>IF(B89="","",IFERROR(VLOOKUP(B89,'👥 MEMBRES'!A:C,3,0),"?"))</f>
        <v/>
      </c>
      <c r="E89" s="36"/>
      <c r="F89" s="36"/>
      <c r="G89" s="24" t="str">
        <f>IF(F89="","",IF(F89="Retard cotisation",'⚙️ PARAMÈTRES'!B8,IF(F89="Absence réunion",'⚙️ PARAMÈTRES'!B9,0)))</f>
        <v/>
      </c>
      <c r="H89" s="36"/>
      <c r="I89" s="23">
        <f t="shared" si="1"/>
        <v>0</v>
      </c>
    </row>
    <row r="90" spans="1:9" ht="19.5" customHeight="1" x14ac:dyDescent="0.3">
      <c r="A90" s="39" t="s">
        <v>505</v>
      </c>
      <c r="B90" s="32"/>
      <c r="C90" s="18" t="str">
        <f>IF(B90="","",IFERROR(VLOOKUP(B90,'👥 MEMBRES'!A:B,2,0),"?"))</f>
        <v/>
      </c>
      <c r="D90" s="18" t="str">
        <f>IF(B90="","",IFERROR(VLOOKUP(B90,'👥 MEMBRES'!A:C,3,0),"?"))</f>
        <v/>
      </c>
      <c r="E90" s="32"/>
      <c r="F90" s="32"/>
      <c r="G90" s="24" t="str">
        <f>IF(F90="","",IF(F90="Retard cotisation",'⚙️ PARAMÈTRES'!B8,IF(F90="Absence réunion",'⚙️ PARAMÈTRES'!B9,0)))</f>
        <v/>
      </c>
      <c r="H90" s="32"/>
      <c r="I90" s="23">
        <f t="shared" si="1"/>
        <v>0</v>
      </c>
    </row>
    <row r="91" spans="1:9" ht="19.5" customHeight="1" x14ac:dyDescent="0.3">
      <c r="A91" s="39" t="s">
        <v>506</v>
      </c>
      <c r="B91" s="36"/>
      <c r="C91" s="26" t="str">
        <f>IF(B91="","",IFERROR(VLOOKUP(B91,'👥 MEMBRES'!A:B,2,0),"?"))</f>
        <v/>
      </c>
      <c r="D91" s="26" t="str">
        <f>IF(B91="","",IFERROR(VLOOKUP(B91,'👥 MEMBRES'!A:C,3,0),"?"))</f>
        <v/>
      </c>
      <c r="E91" s="36"/>
      <c r="F91" s="36"/>
      <c r="G91" s="24" t="str">
        <f>IF(F91="","",IF(F91="Retard cotisation",'⚙️ PARAMÈTRES'!B8,IF(F91="Absence réunion",'⚙️ PARAMÈTRES'!B9,0)))</f>
        <v/>
      </c>
      <c r="H91" s="36"/>
      <c r="I91" s="23">
        <f t="shared" si="1"/>
        <v>0</v>
      </c>
    </row>
    <row r="92" spans="1:9" ht="19.5" customHeight="1" x14ac:dyDescent="0.3">
      <c r="A92" s="39" t="s">
        <v>507</v>
      </c>
      <c r="B92" s="32"/>
      <c r="C92" s="18" t="str">
        <f>IF(B92="","",IFERROR(VLOOKUP(B92,'👥 MEMBRES'!A:B,2,0),"?"))</f>
        <v/>
      </c>
      <c r="D92" s="18" t="str">
        <f>IF(B92="","",IFERROR(VLOOKUP(B92,'👥 MEMBRES'!A:C,3,0),"?"))</f>
        <v/>
      </c>
      <c r="E92" s="32"/>
      <c r="F92" s="32"/>
      <c r="G92" s="24" t="str">
        <f>IF(F92="","",IF(F92="Retard cotisation",'⚙️ PARAMÈTRES'!B8,IF(F92="Absence réunion",'⚙️ PARAMÈTRES'!B9,0)))</f>
        <v/>
      </c>
      <c r="H92" s="32"/>
      <c r="I92" s="23">
        <f t="shared" si="1"/>
        <v>0</v>
      </c>
    </row>
    <row r="93" spans="1:9" ht="19.5" customHeight="1" x14ac:dyDescent="0.3">
      <c r="A93" s="39" t="s">
        <v>508</v>
      </c>
      <c r="B93" s="36"/>
      <c r="C93" s="26" t="str">
        <f>IF(B93="","",IFERROR(VLOOKUP(B93,'👥 MEMBRES'!A:B,2,0),"?"))</f>
        <v/>
      </c>
      <c r="D93" s="26" t="str">
        <f>IF(B93="","",IFERROR(VLOOKUP(B93,'👥 MEMBRES'!A:C,3,0),"?"))</f>
        <v/>
      </c>
      <c r="E93" s="36"/>
      <c r="F93" s="36"/>
      <c r="G93" s="24" t="str">
        <f>IF(F93="","",IF(F93="Retard cotisation",'⚙️ PARAMÈTRES'!B8,IF(F93="Absence réunion",'⚙️ PARAMÈTRES'!B9,0)))</f>
        <v/>
      </c>
      <c r="H93" s="36"/>
      <c r="I93" s="23">
        <f t="shared" si="1"/>
        <v>0</v>
      </c>
    </row>
    <row r="94" spans="1:9" ht="19.5" customHeight="1" x14ac:dyDescent="0.3">
      <c r="A94" s="39" t="s">
        <v>509</v>
      </c>
      <c r="B94" s="32"/>
      <c r="C94" s="18" t="str">
        <f>IF(B94="","",IFERROR(VLOOKUP(B94,'👥 MEMBRES'!A:B,2,0),"?"))</f>
        <v/>
      </c>
      <c r="D94" s="18" t="str">
        <f>IF(B94="","",IFERROR(VLOOKUP(B94,'👥 MEMBRES'!A:C,3,0),"?"))</f>
        <v/>
      </c>
      <c r="E94" s="32"/>
      <c r="F94" s="32"/>
      <c r="G94" s="24" t="str">
        <f>IF(F94="","",IF(F94="Retard cotisation",'⚙️ PARAMÈTRES'!B8,IF(F94="Absence réunion",'⚙️ PARAMÈTRES'!B9,0)))</f>
        <v/>
      </c>
      <c r="H94" s="32"/>
      <c r="I94" s="23">
        <f t="shared" si="1"/>
        <v>0</v>
      </c>
    </row>
    <row r="95" spans="1:9" ht="19.5" customHeight="1" x14ac:dyDescent="0.3">
      <c r="A95" s="39" t="s">
        <v>510</v>
      </c>
      <c r="B95" s="36"/>
      <c r="C95" s="26" t="str">
        <f>IF(B95="","",IFERROR(VLOOKUP(B95,'👥 MEMBRES'!A:B,2,0),"?"))</f>
        <v/>
      </c>
      <c r="D95" s="26" t="str">
        <f>IF(B95="","",IFERROR(VLOOKUP(B95,'👥 MEMBRES'!A:C,3,0),"?"))</f>
        <v/>
      </c>
      <c r="E95" s="36"/>
      <c r="F95" s="36"/>
      <c r="G95" s="24" t="str">
        <f>IF(F95="","",IF(F95="Retard cotisation",'⚙️ PARAMÈTRES'!B8,IF(F95="Absence réunion",'⚙️ PARAMÈTRES'!B9,0)))</f>
        <v/>
      </c>
      <c r="H95" s="36"/>
      <c r="I95" s="23">
        <f t="shared" si="1"/>
        <v>0</v>
      </c>
    </row>
    <row r="96" spans="1:9" ht="19.5" customHeight="1" x14ac:dyDescent="0.3">
      <c r="A96" s="39" t="s">
        <v>511</v>
      </c>
      <c r="B96" s="32"/>
      <c r="C96" s="18" t="str">
        <f>IF(B96="","",IFERROR(VLOOKUP(B96,'👥 MEMBRES'!A:B,2,0),"?"))</f>
        <v/>
      </c>
      <c r="D96" s="18" t="str">
        <f>IF(B96="","",IFERROR(VLOOKUP(B96,'👥 MEMBRES'!A:C,3,0),"?"))</f>
        <v/>
      </c>
      <c r="E96" s="32"/>
      <c r="F96" s="32"/>
      <c r="G96" s="24" t="str">
        <f>IF(F96="","",IF(F96="Retard cotisation",'⚙️ PARAMÈTRES'!B8,IF(F96="Absence réunion",'⚙️ PARAMÈTRES'!B9,0)))</f>
        <v/>
      </c>
      <c r="H96" s="32"/>
      <c r="I96" s="23">
        <f t="shared" si="1"/>
        <v>0</v>
      </c>
    </row>
    <row r="97" spans="1:9" ht="19.5" customHeight="1" x14ac:dyDescent="0.3">
      <c r="A97" s="39" t="s">
        <v>512</v>
      </c>
      <c r="B97" s="36"/>
      <c r="C97" s="26" t="str">
        <f>IF(B97="","",IFERROR(VLOOKUP(B97,'👥 MEMBRES'!A:B,2,0),"?"))</f>
        <v/>
      </c>
      <c r="D97" s="26" t="str">
        <f>IF(B97="","",IFERROR(VLOOKUP(B97,'👥 MEMBRES'!A:C,3,0),"?"))</f>
        <v/>
      </c>
      <c r="E97" s="36"/>
      <c r="F97" s="36"/>
      <c r="G97" s="24" t="str">
        <f>IF(F97="","",IF(F97="Retard cotisation",'⚙️ PARAMÈTRES'!B8,IF(F97="Absence réunion",'⚙️ PARAMÈTRES'!B9,0)))</f>
        <v/>
      </c>
      <c r="H97" s="36"/>
      <c r="I97" s="23">
        <f t="shared" si="1"/>
        <v>0</v>
      </c>
    </row>
    <row r="98" spans="1:9" ht="19.5" customHeight="1" x14ac:dyDescent="0.3">
      <c r="A98" s="39" t="s">
        <v>513</v>
      </c>
      <c r="B98" s="32"/>
      <c r="C98" s="18" t="str">
        <f>IF(B98="","",IFERROR(VLOOKUP(B98,'👥 MEMBRES'!A:B,2,0),"?"))</f>
        <v/>
      </c>
      <c r="D98" s="18" t="str">
        <f>IF(B98="","",IFERROR(VLOOKUP(B98,'👥 MEMBRES'!A:C,3,0),"?"))</f>
        <v/>
      </c>
      <c r="E98" s="32"/>
      <c r="F98" s="32"/>
      <c r="G98" s="24" t="str">
        <f>IF(F98="","",IF(F98="Retard cotisation",'⚙️ PARAMÈTRES'!B8,IF(F98="Absence réunion",'⚙️ PARAMÈTRES'!B9,0)))</f>
        <v/>
      </c>
      <c r="H98" s="32"/>
      <c r="I98" s="23">
        <f t="shared" si="1"/>
        <v>0</v>
      </c>
    </row>
    <row r="99" spans="1:9" ht="19.5" customHeight="1" x14ac:dyDescent="0.3">
      <c r="A99" s="39" t="s">
        <v>514</v>
      </c>
      <c r="B99" s="36"/>
      <c r="C99" s="26" t="str">
        <f>IF(B99="","",IFERROR(VLOOKUP(B99,'👥 MEMBRES'!A:B,2,0),"?"))</f>
        <v/>
      </c>
      <c r="D99" s="26" t="str">
        <f>IF(B99="","",IFERROR(VLOOKUP(B99,'👥 MEMBRES'!A:C,3,0),"?"))</f>
        <v/>
      </c>
      <c r="E99" s="36"/>
      <c r="F99" s="36"/>
      <c r="G99" s="24" t="str">
        <f>IF(F99="","",IF(F99="Retard cotisation",'⚙️ PARAMÈTRES'!B8,IF(F99="Absence réunion",'⚙️ PARAMÈTRES'!B9,0)))</f>
        <v/>
      </c>
      <c r="H99" s="36"/>
      <c r="I99" s="23">
        <f t="shared" si="1"/>
        <v>0</v>
      </c>
    </row>
    <row r="100" spans="1:9" ht="19.5" customHeight="1" x14ac:dyDescent="0.3">
      <c r="A100" s="39" t="s">
        <v>515</v>
      </c>
      <c r="B100" s="32"/>
      <c r="C100" s="18" t="str">
        <f>IF(B100="","",IFERROR(VLOOKUP(B100,'👥 MEMBRES'!A:B,2,0),"?"))</f>
        <v/>
      </c>
      <c r="D100" s="18" t="str">
        <f>IF(B100="","",IFERROR(VLOOKUP(B100,'👥 MEMBRES'!A:C,3,0),"?"))</f>
        <v/>
      </c>
      <c r="E100" s="32"/>
      <c r="F100" s="32"/>
      <c r="G100" s="24" t="str">
        <f>IF(F100="","",IF(F100="Retard cotisation",'⚙️ PARAMÈTRES'!B8,IF(F100="Absence réunion",'⚙️ PARAMÈTRES'!B9,0)))</f>
        <v/>
      </c>
      <c r="H100" s="32"/>
      <c r="I100" s="23">
        <f t="shared" si="1"/>
        <v>0</v>
      </c>
    </row>
    <row r="101" spans="1:9" ht="19.5" customHeight="1" x14ac:dyDescent="0.3">
      <c r="A101" s="39" t="s">
        <v>516</v>
      </c>
      <c r="B101" s="36"/>
      <c r="C101" s="26" t="str">
        <f>IF(B101="","",IFERROR(VLOOKUP(B101,'👥 MEMBRES'!A:B,2,0),"?"))</f>
        <v/>
      </c>
      <c r="D101" s="26" t="str">
        <f>IF(B101="","",IFERROR(VLOOKUP(B101,'👥 MEMBRES'!A:C,3,0),"?"))</f>
        <v/>
      </c>
      <c r="E101" s="36"/>
      <c r="F101" s="36"/>
      <c r="G101" s="24" t="str">
        <f>IF(F101="","",IF(F101="Retard cotisation",'⚙️ PARAMÈTRES'!B8,IF(F101="Absence réunion",'⚙️ PARAMÈTRES'!B9,0)))</f>
        <v/>
      </c>
      <c r="H101" s="36"/>
      <c r="I101" s="23">
        <f t="shared" si="1"/>
        <v>0</v>
      </c>
    </row>
    <row r="102" spans="1:9" ht="19.5" customHeight="1" x14ac:dyDescent="0.3">
      <c r="A102" s="39" t="s">
        <v>517</v>
      </c>
      <c r="B102" s="32"/>
      <c r="C102" s="18" t="str">
        <f>IF(B102="","",IFERROR(VLOOKUP(B102,'👥 MEMBRES'!A:B,2,0),"?"))</f>
        <v/>
      </c>
      <c r="D102" s="18" t="str">
        <f>IF(B102="","",IFERROR(VLOOKUP(B102,'👥 MEMBRES'!A:C,3,0),"?"))</f>
        <v/>
      </c>
      <c r="E102" s="32"/>
      <c r="F102" s="32"/>
      <c r="G102" s="24" t="str">
        <f>IF(F102="","",IF(F102="Retard cotisation",'⚙️ PARAMÈTRES'!B8,IF(F102="Absence réunion",'⚙️ PARAMÈTRES'!B9,0)))</f>
        <v/>
      </c>
      <c r="H102" s="32"/>
      <c r="I102" s="23">
        <f t="shared" si="1"/>
        <v>0</v>
      </c>
    </row>
    <row r="103" spans="1:9" ht="19.5" customHeight="1" x14ac:dyDescent="0.3">
      <c r="A103" s="39" t="s">
        <v>518</v>
      </c>
      <c r="B103" s="36"/>
      <c r="C103" s="26" t="str">
        <f>IF(B103="","",IFERROR(VLOOKUP(B103,'👥 MEMBRES'!A:B,2,0),"?"))</f>
        <v/>
      </c>
      <c r="D103" s="26" t="str">
        <f>IF(B103="","",IFERROR(VLOOKUP(B103,'👥 MEMBRES'!A:C,3,0),"?"))</f>
        <v/>
      </c>
      <c r="E103" s="36"/>
      <c r="F103" s="36"/>
      <c r="G103" s="24" t="str">
        <f>IF(F103="","",IF(F103="Retard cotisation",'⚙️ PARAMÈTRES'!B8,IF(F103="Absence réunion",'⚙️ PARAMÈTRES'!B9,0)))</f>
        <v/>
      </c>
      <c r="H103" s="36"/>
      <c r="I103" s="23">
        <f t="shared" si="1"/>
        <v>0</v>
      </c>
    </row>
    <row r="104" spans="1:9" ht="19.5" customHeight="1" x14ac:dyDescent="0.3">
      <c r="A104" s="39" t="s">
        <v>519</v>
      </c>
      <c r="B104" s="32"/>
      <c r="C104" s="18" t="str">
        <f>IF(B104="","",IFERROR(VLOOKUP(B104,'👥 MEMBRES'!A:B,2,0),"?"))</f>
        <v/>
      </c>
      <c r="D104" s="18" t="str">
        <f>IF(B104="","",IFERROR(VLOOKUP(B104,'👥 MEMBRES'!A:C,3,0),"?"))</f>
        <v/>
      </c>
      <c r="E104" s="32"/>
      <c r="F104" s="32"/>
      <c r="G104" s="24" t="str">
        <f>IF(F104="","",IF(F104="Retard cotisation",'⚙️ PARAMÈTRES'!B8,IF(F104="Absence réunion",'⚙️ PARAMÈTRES'!B9,0)))</f>
        <v/>
      </c>
      <c r="H104" s="32"/>
      <c r="I104" s="23">
        <f t="shared" si="1"/>
        <v>0</v>
      </c>
    </row>
    <row r="105" spans="1:9" ht="19.5" customHeight="1" x14ac:dyDescent="0.3">
      <c r="A105" s="39" t="s">
        <v>520</v>
      </c>
      <c r="B105" s="36"/>
      <c r="C105" s="26" t="str">
        <f>IF(B105="","",IFERROR(VLOOKUP(B105,'👥 MEMBRES'!A:B,2,0),"?"))</f>
        <v/>
      </c>
      <c r="D105" s="26" t="str">
        <f>IF(B105="","",IFERROR(VLOOKUP(B105,'👥 MEMBRES'!A:C,3,0),"?"))</f>
        <v/>
      </c>
      <c r="E105" s="36"/>
      <c r="F105" s="36"/>
      <c r="G105" s="24" t="str">
        <f>IF(F105="","",IF(F105="Retard cotisation",'⚙️ PARAMÈTRES'!B8,IF(F105="Absence réunion",'⚙️ PARAMÈTRES'!B9,0)))</f>
        <v/>
      </c>
      <c r="H105" s="36"/>
      <c r="I105" s="23">
        <f t="shared" si="1"/>
        <v>0</v>
      </c>
    </row>
    <row r="106" spans="1:9" ht="19.5" customHeight="1" x14ac:dyDescent="0.3">
      <c r="A106" s="39" t="s">
        <v>521</v>
      </c>
      <c r="B106" s="32"/>
      <c r="C106" s="18" t="str">
        <f>IF(B106="","",IFERROR(VLOOKUP(B106,'👥 MEMBRES'!A:B,2,0),"?"))</f>
        <v/>
      </c>
      <c r="D106" s="18" t="str">
        <f>IF(B106="","",IFERROR(VLOOKUP(B106,'👥 MEMBRES'!A:C,3,0),"?"))</f>
        <v/>
      </c>
      <c r="E106" s="32"/>
      <c r="F106" s="32"/>
      <c r="G106" s="24" t="str">
        <f>IF(F106="","",IF(F106="Retard cotisation",'⚙️ PARAMÈTRES'!B8,IF(F106="Absence réunion",'⚙️ PARAMÈTRES'!B9,0)))</f>
        <v/>
      </c>
      <c r="H106" s="32"/>
      <c r="I106" s="23">
        <f t="shared" si="1"/>
        <v>0</v>
      </c>
    </row>
    <row r="107" spans="1:9" ht="19.5" customHeight="1" x14ac:dyDescent="0.3">
      <c r="A107" s="39" t="s">
        <v>522</v>
      </c>
      <c r="B107" s="36"/>
      <c r="C107" s="26" t="str">
        <f>IF(B107="","",IFERROR(VLOOKUP(B107,'👥 MEMBRES'!A:B,2,0),"?"))</f>
        <v/>
      </c>
      <c r="D107" s="26" t="str">
        <f>IF(B107="","",IFERROR(VLOOKUP(B107,'👥 MEMBRES'!A:C,3,0),"?"))</f>
        <v/>
      </c>
      <c r="E107" s="36"/>
      <c r="F107" s="36"/>
      <c r="G107" s="24" t="str">
        <f>IF(F107="","",IF(F107="Retard cotisation",'⚙️ PARAMÈTRES'!B8,IF(F107="Absence réunion",'⚙️ PARAMÈTRES'!B9,0)))</f>
        <v/>
      </c>
      <c r="H107" s="36"/>
      <c r="I107" s="23">
        <f t="shared" si="1"/>
        <v>0</v>
      </c>
    </row>
    <row r="108" spans="1:9" ht="19.5" customHeight="1" x14ac:dyDescent="0.3">
      <c r="A108" s="39" t="s">
        <v>523</v>
      </c>
      <c r="B108" s="32"/>
      <c r="C108" s="18" t="str">
        <f>IF(B108="","",IFERROR(VLOOKUP(B108,'👥 MEMBRES'!A:B,2,0),"?"))</f>
        <v/>
      </c>
      <c r="D108" s="18" t="str">
        <f>IF(B108="","",IFERROR(VLOOKUP(B108,'👥 MEMBRES'!A:C,3,0),"?"))</f>
        <v/>
      </c>
      <c r="E108" s="32"/>
      <c r="F108" s="32"/>
      <c r="G108" s="24" t="str">
        <f>IF(F108="","",IF(F108="Retard cotisation",'⚙️ PARAMÈTRES'!B8,IF(F108="Absence réunion",'⚙️ PARAMÈTRES'!B9,0)))</f>
        <v/>
      </c>
      <c r="H108" s="32"/>
      <c r="I108" s="23">
        <f t="shared" si="1"/>
        <v>0</v>
      </c>
    </row>
    <row r="109" spans="1:9" ht="19.5" customHeight="1" x14ac:dyDescent="0.3">
      <c r="A109" s="39" t="s">
        <v>524</v>
      </c>
      <c r="B109" s="36"/>
      <c r="C109" s="26" t="str">
        <f>IF(B109="","",IFERROR(VLOOKUP(B109,'👥 MEMBRES'!A:B,2,0),"?"))</f>
        <v/>
      </c>
      <c r="D109" s="26" t="str">
        <f>IF(B109="","",IFERROR(VLOOKUP(B109,'👥 MEMBRES'!A:C,3,0),"?"))</f>
        <v/>
      </c>
      <c r="E109" s="36"/>
      <c r="F109" s="36"/>
      <c r="G109" s="24" t="str">
        <f>IF(F109="","",IF(F109="Retard cotisation",'⚙️ PARAMÈTRES'!B8,IF(F109="Absence réunion",'⚙️ PARAMÈTRES'!B9,0)))</f>
        <v/>
      </c>
      <c r="H109" s="36"/>
      <c r="I109" s="23">
        <f t="shared" si="1"/>
        <v>0</v>
      </c>
    </row>
    <row r="110" spans="1:9" ht="19.5" customHeight="1" x14ac:dyDescent="0.3">
      <c r="A110" s="39" t="s">
        <v>525</v>
      </c>
      <c r="B110" s="32"/>
      <c r="C110" s="18" t="str">
        <f>IF(B110="","",IFERROR(VLOOKUP(B110,'👥 MEMBRES'!A:B,2,0),"?"))</f>
        <v/>
      </c>
      <c r="D110" s="18" t="str">
        <f>IF(B110="","",IFERROR(VLOOKUP(B110,'👥 MEMBRES'!A:C,3,0),"?"))</f>
        <v/>
      </c>
      <c r="E110" s="32"/>
      <c r="F110" s="32"/>
      <c r="G110" s="24" t="str">
        <f>IF(F110="","",IF(F110="Retard cotisation",'⚙️ PARAMÈTRES'!B8,IF(F110="Absence réunion",'⚙️ PARAMÈTRES'!B9,0)))</f>
        <v/>
      </c>
      <c r="H110" s="32"/>
      <c r="I110" s="23">
        <f t="shared" si="1"/>
        <v>0</v>
      </c>
    </row>
    <row r="111" spans="1:9" ht="19.5" customHeight="1" x14ac:dyDescent="0.3">
      <c r="A111" s="39" t="s">
        <v>526</v>
      </c>
      <c r="B111" s="36"/>
      <c r="C111" s="26" t="str">
        <f>IF(B111="","",IFERROR(VLOOKUP(B111,'👥 MEMBRES'!A:B,2,0),"?"))</f>
        <v/>
      </c>
      <c r="D111" s="26" t="str">
        <f>IF(B111="","",IFERROR(VLOOKUP(B111,'👥 MEMBRES'!A:C,3,0),"?"))</f>
        <v/>
      </c>
      <c r="E111" s="36"/>
      <c r="F111" s="36"/>
      <c r="G111" s="24" t="str">
        <f>IF(F111="","",IF(F111="Retard cotisation",'⚙️ PARAMÈTRES'!B8,IF(F111="Absence réunion",'⚙️ PARAMÈTRES'!B9,0)))</f>
        <v/>
      </c>
      <c r="H111" s="36"/>
      <c r="I111" s="23">
        <f t="shared" si="1"/>
        <v>0</v>
      </c>
    </row>
    <row r="112" spans="1:9" ht="19.5" customHeight="1" x14ac:dyDescent="0.3">
      <c r="A112" s="39" t="s">
        <v>527</v>
      </c>
      <c r="B112" s="32"/>
      <c r="C112" s="18" t="str">
        <f>IF(B112="","",IFERROR(VLOOKUP(B112,'👥 MEMBRES'!A:B,2,0),"?"))</f>
        <v/>
      </c>
      <c r="D112" s="18" t="str">
        <f>IF(B112="","",IFERROR(VLOOKUP(B112,'👥 MEMBRES'!A:C,3,0),"?"))</f>
        <v/>
      </c>
      <c r="E112" s="32"/>
      <c r="F112" s="32"/>
      <c r="G112" s="24" t="str">
        <f>IF(F112="","",IF(F112="Retard cotisation",'⚙️ PARAMÈTRES'!B8,IF(F112="Absence réunion",'⚙️ PARAMÈTRES'!B9,0)))</f>
        <v/>
      </c>
      <c r="H112" s="32"/>
      <c r="I112" s="23">
        <f t="shared" si="1"/>
        <v>0</v>
      </c>
    </row>
    <row r="113" spans="1:9" ht="19.5" customHeight="1" x14ac:dyDescent="0.3">
      <c r="A113" s="39" t="s">
        <v>528</v>
      </c>
      <c r="B113" s="36"/>
      <c r="C113" s="26" t="str">
        <f>IF(B113="","",IFERROR(VLOOKUP(B113,'👥 MEMBRES'!A:B,2,0),"?"))</f>
        <v/>
      </c>
      <c r="D113" s="26" t="str">
        <f>IF(B113="","",IFERROR(VLOOKUP(B113,'👥 MEMBRES'!A:C,3,0),"?"))</f>
        <v/>
      </c>
      <c r="E113" s="36"/>
      <c r="F113" s="36"/>
      <c r="G113" s="24" t="str">
        <f>IF(F113="","",IF(F113="Retard cotisation",'⚙️ PARAMÈTRES'!B8,IF(F113="Absence réunion",'⚙️ PARAMÈTRES'!B9,0)))</f>
        <v/>
      </c>
      <c r="H113" s="36"/>
      <c r="I113" s="23">
        <f t="shared" si="1"/>
        <v>0</v>
      </c>
    </row>
    <row r="114" spans="1:9" ht="19.5" customHeight="1" x14ac:dyDescent="0.3">
      <c r="A114" s="39" t="s">
        <v>529</v>
      </c>
      <c r="B114" s="32"/>
      <c r="C114" s="18" t="str">
        <f>IF(B114="","",IFERROR(VLOOKUP(B114,'👥 MEMBRES'!A:B,2,0),"?"))</f>
        <v/>
      </c>
      <c r="D114" s="18" t="str">
        <f>IF(B114="","",IFERROR(VLOOKUP(B114,'👥 MEMBRES'!A:C,3,0),"?"))</f>
        <v/>
      </c>
      <c r="E114" s="32"/>
      <c r="F114" s="32"/>
      <c r="G114" s="24" t="str">
        <f>IF(F114="","",IF(F114="Retard cotisation",'⚙️ PARAMÈTRES'!B8,IF(F114="Absence réunion",'⚙️ PARAMÈTRES'!B9,0)))</f>
        <v/>
      </c>
      <c r="H114" s="32"/>
      <c r="I114" s="23">
        <f t="shared" si="1"/>
        <v>0</v>
      </c>
    </row>
    <row r="115" spans="1:9" ht="19.5" customHeight="1" x14ac:dyDescent="0.3">
      <c r="A115" s="39" t="s">
        <v>530</v>
      </c>
      <c r="B115" s="36"/>
      <c r="C115" s="26" t="str">
        <f>IF(B115="","",IFERROR(VLOOKUP(B115,'👥 MEMBRES'!A:B,2,0),"?"))</f>
        <v/>
      </c>
      <c r="D115" s="26" t="str">
        <f>IF(B115="","",IFERROR(VLOOKUP(B115,'👥 MEMBRES'!A:C,3,0),"?"))</f>
        <v/>
      </c>
      <c r="E115" s="36"/>
      <c r="F115" s="36"/>
      <c r="G115" s="24" t="str">
        <f>IF(F115="","",IF(F115="Retard cotisation",'⚙️ PARAMÈTRES'!B8,IF(F115="Absence réunion",'⚙️ PARAMÈTRES'!B9,0)))</f>
        <v/>
      </c>
      <c r="H115" s="36"/>
      <c r="I115" s="23">
        <f t="shared" si="1"/>
        <v>0</v>
      </c>
    </row>
    <row r="116" spans="1:9" ht="19.5" customHeight="1" x14ac:dyDescent="0.3">
      <c r="A116" s="39" t="s">
        <v>531</v>
      </c>
      <c r="B116" s="32"/>
      <c r="C116" s="18" t="str">
        <f>IF(B116="","",IFERROR(VLOOKUP(B116,'👥 MEMBRES'!A:B,2,0),"?"))</f>
        <v/>
      </c>
      <c r="D116" s="18" t="str">
        <f>IF(B116="","",IFERROR(VLOOKUP(B116,'👥 MEMBRES'!A:C,3,0),"?"))</f>
        <v/>
      </c>
      <c r="E116" s="32"/>
      <c r="F116" s="32"/>
      <c r="G116" s="24" t="str">
        <f>IF(F116="","",IF(F116="Retard cotisation",'⚙️ PARAMÈTRES'!B8,IF(F116="Absence réunion",'⚙️ PARAMÈTRES'!B9,0)))</f>
        <v/>
      </c>
      <c r="H116" s="32"/>
      <c r="I116" s="23">
        <f t="shared" si="1"/>
        <v>0</v>
      </c>
    </row>
    <row r="117" spans="1:9" ht="19.5" customHeight="1" x14ac:dyDescent="0.3">
      <c r="A117" s="39" t="s">
        <v>532</v>
      </c>
      <c r="B117" s="36"/>
      <c r="C117" s="26" t="str">
        <f>IF(B117="","",IFERROR(VLOOKUP(B117,'👥 MEMBRES'!A:B,2,0),"?"))</f>
        <v/>
      </c>
      <c r="D117" s="26" t="str">
        <f>IF(B117="","",IFERROR(VLOOKUP(B117,'👥 MEMBRES'!A:C,3,0),"?"))</f>
        <v/>
      </c>
      <c r="E117" s="36"/>
      <c r="F117" s="36"/>
      <c r="G117" s="24" t="str">
        <f>IF(F117="","",IF(F117="Retard cotisation",'⚙️ PARAMÈTRES'!B8,IF(F117="Absence réunion",'⚙️ PARAMÈTRES'!B9,0)))</f>
        <v/>
      </c>
      <c r="H117" s="36"/>
      <c r="I117" s="23">
        <f t="shared" si="1"/>
        <v>0</v>
      </c>
    </row>
    <row r="118" spans="1:9" ht="19.5" customHeight="1" x14ac:dyDescent="0.3">
      <c r="A118" s="39" t="s">
        <v>533</v>
      </c>
      <c r="B118" s="32"/>
      <c r="C118" s="18" t="str">
        <f>IF(B118="","",IFERROR(VLOOKUP(B118,'👥 MEMBRES'!A:B,2,0),"?"))</f>
        <v/>
      </c>
      <c r="D118" s="18" t="str">
        <f>IF(B118="","",IFERROR(VLOOKUP(B118,'👥 MEMBRES'!A:C,3,0),"?"))</f>
        <v/>
      </c>
      <c r="E118" s="32"/>
      <c r="F118" s="32"/>
      <c r="G118" s="24" t="str">
        <f>IF(F118="","",IF(F118="Retard cotisation",'⚙️ PARAMÈTRES'!B8,IF(F118="Absence réunion",'⚙️ PARAMÈTRES'!B9,0)))</f>
        <v/>
      </c>
      <c r="H118" s="32"/>
      <c r="I118" s="23">
        <f t="shared" si="1"/>
        <v>0</v>
      </c>
    </row>
    <row r="119" spans="1:9" ht="19.5" customHeight="1" x14ac:dyDescent="0.3">
      <c r="A119" s="39" t="s">
        <v>534</v>
      </c>
      <c r="B119" s="36"/>
      <c r="C119" s="26" t="str">
        <f>IF(B119="","",IFERROR(VLOOKUP(B119,'👥 MEMBRES'!A:B,2,0),"?"))</f>
        <v/>
      </c>
      <c r="D119" s="26" t="str">
        <f>IF(B119="","",IFERROR(VLOOKUP(B119,'👥 MEMBRES'!A:C,3,0),"?"))</f>
        <v/>
      </c>
      <c r="E119" s="36"/>
      <c r="F119" s="36"/>
      <c r="G119" s="24" t="str">
        <f>IF(F119="","",IF(F119="Retard cotisation",'⚙️ PARAMÈTRES'!B8,IF(F119="Absence réunion",'⚙️ PARAMÈTRES'!B9,0)))</f>
        <v/>
      </c>
      <c r="H119" s="36"/>
      <c r="I119" s="23">
        <f t="shared" si="1"/>
        <v>0</v>
      </c>
    </row>
    <row r="120" spans="1:9" ht="19.5" customHeight="1" x14ac:dyDescent="0.3">
      <c r="A120" s="39" t="s">
        <v>535</v>
      </c>
      <c r="B120" s="32"/>
      <c r="C120" s="18" t="str">
        <f>IF(B120="","",IFERROR(VLOOKUP(B120,'👥 MEMBRES'!A:B,2,0),"?"))</f>
        <v/>
      </c>
      <c r="D120" s="18" t="str">
        <f>IF(B120="","",IFERROR(VLOOKUP(B120,'👥 MEMBRES'!A:C,3,0),"?"))</f>
        <v/>
      </c>
      <c r="E120" s="32"/>
      <c r="F120" s="32"/>
      <c r="G120" s="24" t="str">
        <f>IF(F120="","",IF(F120="Retard cotisation",'⚙️ PARAMÈTRES'!B8,IF(F120="Absence réunion",'⚙️ PARAMÈTRES'!B9,0)))</f>
        <v/>
      </c>
      <c r="H120" s="32"/>
      <c r="I120" s="23">
        <f t="shared" si="1"/>
        <v>0</v>
      </c>
    </row>
    <row r="121" spans="1:9" ht="19.5" customHeight="1" x14ac:dyDescent="0.3">
      <c r="A121" s="39" t="s">
        <v>536</v>
      </c>
      <c r="B121" s="36"/>
      <c r="C121" s="26" t="str">
        <f>IF(B121="","",IFERROR(VLOOKUP(B121,'👥 MEMBRES'!A:B,2,0),"?"))</f>
        <v/>
      </c>
      <c r="D121" s="26" t="str">
        <f>IF(B121="","",IFERROR(VLOOKUP(B121,'👥 MEMBRES'!A:C,3,0),"?"))</f>
        <v/>
      </c>
      <c r="E121" s="36"/>
      <c r="F121" s="36"/>
      <c r="G121" s="24" t="str">
        <f>IF(F121="","",IF(F121="Retard cotisation",'⚙️ PARAMÈTRES'!B8,IF(F121="Absence réunion",'⚙️ PARAMÈTRES'!B9,0)))</f>
        <v/>
      </c>
      <c r="H121" s="36"/>
      <c r="I121" s="23">
        <f t="shared" si="1"/>
        <v>0</v>
      </c>
    </row>
    <row r="122" spans="1:9" ht="19.5" customHeight="1" x14ac:dyDescent="0.3">
      <c r="A122" s="39" t="s">
        <v>537</v>
      </c>
      <c r="B122" s="32"/>
      <c r="C122" s="18" t="str">
        <f>IF(B122="","",IFERROR(VLOOKUP(B122,'👥 MEMBRES'!A:B,2,0),"?"))</f>
        <v/>
      </c>
      <c r="D122" s="18" t="str">
        <f>IF(B122="","",IFERROR(VLOOKUP(B122,'👥 MEMBRES'!A:C,3,0),"?"))</f>
        <v/>
      </c>
      <c r="E122" s="32"/>
      <c r="F122" s="32"/>
      <c r="G122" s="24" t="str">
        <f>IF(F122="","",IF(F122="Retard cotisation",'⚙️ PARAMÈTRES'!B8,IF(F122="Absence réunion",'⚙️ PARAMÈTRES'!B9,0)))</f>
        <v/>
      </c>
      <c r="H122" s="32"/>
      <c r="I122" s="23">
        <f t="shared" si="1"/>
        <v>0</v>
      </c>
    </row>
    <row r="123" spans="1:9" ht="19.5" customHeight="1" x14ac:dyDescent="0.3">
      <c r="A123" s="39" t="s">
        <v>538</v>
      </c>
      <c r="B123" s="36"/>
      <c r="C123" s="26" t="str">
        <f>IF(B123="","",IFERROR(VLOOKUP(B123,'👥 MEMBRES'!A:B,2,0),"?"))</f>
        <v/>
      </c>
      <c r="D123" s="26" t="str">
        <f>IF(B123="","",IFERROR(VLOOKUP(B123,'👥 MEMBRES'!A:C,3,0),"?"))</f>
        <v/>
      </c>
      <c r="E123" s="36"/>
      <c r="F123" s="36"/>
      <c r="G123" s="24" t="str">
        <f>IF(F123="","",IF(F123="Retard cotisation",'⚙️ PARAMÈTRES'!B8,IF(F123="Absence réunion",'⚙️ PARAMÈTRES'!B9,0)))</f>
        <v/>
      </c>
      <c r="H123" s="36"/>
      <c r="I123" s="23">
        <f t="shared" si="1"/>
        <v>0</v>
      </c>
    </row>
    <row r="124" spans="1:9" ht="19.5" customHeight="1" x14ac:dyDescent="0.3">
      <c r="A124" s="39" t="s">
        <v>539</v>
      </c>
      <c r="B124" s="32"/>
      <c r="C124" s="18" t="str">
        <f>IF(B124="","",IFERROR(VLOOKUP(B124,'👥 MEMBRES'!A:B,2,0),"?"))</f>
        <v/>
      </c>
      <c r="D124" s="18" t="str">
        <f>IF(B124="","",IFERROR(VLOOKUP(B124,'👥 MEMBRES'!A:C,3,0),"?"))</f>
        <v/>
      </c>
      <c r="E124" s="32"/>
      <c r="F124" s="32"/>
      <c r="G124" s="24" t="str">
        <f>IF(F124="","",IF(F124="Retard cotisation",'⚙️ PARAMÈTRES'!B8,IF(F124="Absence réunion",'⚙️ PARAMÈTRES'!B9,0)))</f>
        <v/>
      </c>
      <c r="H124" s="32"/>
      <c r="I124" s="23">
        <f t="shared" si="1"/>
        <v>0</v>
      </c>
    </row>
    <row r="125" spans="1:9" ht="19.5" customHeight="1" x14ac:dyDescent="0.3">
      <c r="A125" s="39" t="s">
        <v>540</v>
      </c>
      <c r="B125" s="36"/>
      <c r="C125" s="26" t="str">
        <f>IF(B125="","",IFERROR(VLOOKUP(B125,'👥 MEMBRES'!A:B,2,0),"?"))</f>
        <v/>
      </c>
      <c r="D125" s="26" t="str">
        <f>IF(B125="","",IFERROR(VLOOKUP(B125,'👥 MEMBRES'!A:C,3,0),"?"))</f>
        <v/>
      </c>
      <c r="E125" s="36"/>
      <c r="F125" s="36"/>
      <c r="G125" s="24" t="str">
        <f>IF(F125="","",IF(F125="Retard cotisation",'⚙️ PARAMÈTRES'!B8,IF(F125="Absence réunion",'⚙️ PARAMÈTRES'!B9,0)))</f>
        <v/>
      </c>
      <c r="H125" s="36"/>
      <c r="I125" s="23">
        <f t="shared" si="1"/>
        <v>0</v>
      </c>
    </row>
    <row r="126" spans="1:9" ht="19.5" customHeight="1" x14ac:dyDescent="0.3">
      <c r="A126" s="39" t="s">
        <v>541</v>
      </c>
      <c r="B126" s="32"/>
      <c r="C126" s="18" t="str">
        <f>IF(B126="","",IFERROR(VLOOKUP(B126,'👥 MEMBRES'!A:B,2,0),"?"))</f>
        <v/>
      </c>
      <c r="D126" s="18" t="str">
        <f>IF(B126="","",IFERROR(VLOOKUP(B126,'👥 MEMBRES'!A:C,3,0),"?"))</f>
        <v/>
      </c>
      <c r="E126" s="32"/>
      <c r="F126" s="32"/>
      <c r="G126" s="24" t="str">
        <f>IF(F126="","",IF(F126="Retard cotisation",'⚙️ PARAMÈTRES'!B8,IF(F126="Absence réunion",'⚙️ PARAMÈTRES'!B9,0)))</f>
        <v/>
      </c>
      <c r="H126" s="32"/>
      <c r="I126" s="23">
        <f t="shared" si="1"/>
        <v>0</v>
      </c>
    </row>
    <row r="127" spans="1:9" ht="19.5" customHeight="1" x14ac:dyDescent="0.3">
      <c r="A127" s="39" t="s">
        <v>542</v>
      </c>
      <c r="B127" s="36"/>
      <c r="C127" s="26" t="str">
        <f>IF(B127="","",IFERROR(VLOOKUP(B127,'👥 MEMBRES'!A:B,2,0),"?"))</f>
        <v/>
      </c>
      <c r="D127" s="26" t="str">
        <f>IF(B127="","",IFERROR(VLOOKUP(B127,'👥 MEMBRES'!A:C,3,0),"?"))</f>
        <v/>
      </c>
      <c r="E127" s="36"/>
      <c r="F127" s="36"/>
      <c r="G127" s="24" t="str">
        <f>IF(F127="","",IF(F127="Retard cotisation",'⚙️ PARAMÈTRES'!B8,IF(F127="Absence réunion",'⚙️ PARAMÈTRES'!B9,0)))</f>
        <v/>
      </c>
      <c r="H127" s="36"/>
      <c r="I127" s="23">
        <f t="shared" si="1"/>
        <v>0</v>
      </c>
    </row>
    <row r="128" spans="1:9" ht="19.5" customHeight="1" x14ac:dyDescent="0.3">
      <c r="A128" s="39" t="s">
        <v>543</v>
      </c>
      <c r="B128" s="32"/>
      <c r="C128" s="18" t="str">
        <f>IF(B128="","",IFERROR(VLOOKUP(B128,'👥 MEMBRES'!A:B,2,0),"?"))</f>
        <v/>
      </c>
      <c r="D128" s="18" t="str">
        <f>IF(B128="","",IFERROR(VLOOKUP(B128,'👥 MEMBRES'!A:C,3,0),"?"))</f>
        <v/>
      </c>
      <c r="E128" s="32"/>
      <c r="F128" s="32"/>
      <c r="G128" s="24" t="str">
        <f>IF(F128="","",IF(F128="Retard cotisation",'⚙️ PARAMÈTRES'!B8,IF(F128="Absence réunion",'⚙️ PARAMÈTRES'!B9,0)))</f>
        <v/>
      </c>
      <c r="H128" s="32"/>
      <c r="I128" s="23">
        <f t="shared" si="1"/>
        <v>0</v>
      </c>
    </row>
    <row r="129" spans="1:9" ht="19.5" customHeight="1" x14ac:dyDescent="0.3">
      <c r="A129" s="39" t="s">
        <v>544</v>
      </c>
      <c r="B129" s="36"/>
      <c r="C129" s="26" t="str">
        <f>IF(B129="","",IFERROR(VLOOKUP(B129,'👥 MEMBRES'!A:B,2,0),"?"))</f>
        <v/>
      </c>
      <c r="D129" s="26" t="str">
        <f>IF(B129="","",IFERROR(VLOOKUP(B129,'👥 MEMBRES'!A:C,3,0),"?"))</f>
        <v/>
      </c>
      <c r="E129" s="36"/>
      <c r="F129" s="36"/>
      <c r="G129" s="24" t="str">
        <f>IF(F129="","",IF(F129="Retard cotisation",'⚙️ PARAMÈTRES'!B8,IF(F129="Absence réunion",'⚙️ PARAMÈTRES'!B9,0)))</f>
        <v/>
      </c>
      <c r="H129" s="36"/>
      <c r="I129" s="23">
        <f t="shared" si="1"/>
        <v>0</v>
      </c>
    </row>
    <row r="130" spans="1:9" ht="19.5" customHeight="1" x14ac:dyDescent="0.3">
      <c r="A130" s="39" t="s">
        <v>545</v>
      </c>
      <c r="B130" s="32"/>
      <c r="C130" s="18" t="str">
        <f>IF(B130="","",IFERROR(VLOOKUP(B130,'👥 MEMBRES'!A:B,2,0),"?"))</f>
        <v/>
      </c>
      <c r="D130" s="18" t="str">
        <f>IF(B130="","",IFERROR(VLOOKUP(B130,'👥 MEMBRES'!A:C,3,0),"?"))</f>
        <v/>
      </c>
      <c r="E130" s="32"/>
      <c r="F130" s="32"/>
      <c r="G130" s="24" t="str">
        <f>IF(F130="","",IF(F130="Retard cotisation",'⚙️ PARAMÈTRES'!B8,IF(F130="Absence réunion",'⚙️ PARAMÈTRES'!B9,0)))</f>
        <v/>
      </c>
      <c r="H130" s="32"/>
      <c r="I130" s="23">
        <f t="shared" si="1"/>
        <v>0</v>
      </c>
    </row>
    <row r="131" spans="1:9" ht="19.5" customHeight="1" x14ac:dyDescent="0.3">
      <c r="A131" s="39" t="s">
        <v>546</v>
      </c>
      <c r="B131" s="36"/>
      <c r="C131" s="26" t="str">
        <f>IF(B131="","",IFERROR(VLOOKUP(B131,'👥 MEMBRES'!A:B,2,0),"?"))</f>
        <v/>
      </c>
      <c r="D131" s="26" t="str">
        <f>IF(B131="","",IFERROR(VLOOKUP(B131,'👥 MEMBRES'!A:C,3,0),"?"))</f>
        <v/>
      </c>
      <c r="E131" s="36"/>
      <c r="F131" s="36"/>
      <c r="G131" s="24" t="str">
        <f>IF(F131="","",IF(F131="Retard cotisation",'⚙️ PARAMÈTRES'!B8,IF(F131="Absence réunion",'⚙️ PARAMÈTRES'!B9,0)))</f>
        <v/>
      </c>
      <c r="H131" s="36"/>
      <c r="I131" s="23">
        <f t="shared" si="1"/>
        <v>0</v>
      </c>
    </row>
    <row r="132" spans="1:9" ht="19.5" customHeight="1" x14ac:dyDescent="0.3">
      <c r="A132" s="39" t="s">
        <v>547</v>
      </c>
      <c r="B132" s="32"/>
      <c r="C132" s="18" t="str">
        <f>IF(B132="","",IFERROR(VLOOKUP(B132,'👥 MEMBRES'!A:B,2,0),"?"))</f>
        <v/>
      </c>
      <c r="D132" s="18" t="str">
        <f>IF(B132="","",IFERROR(VLOOKUP(B132,'👥 MEMBRES'!A:C,3,0),"?"))</f>
        <v/>
      </c>
      <c r="E132" s="32"/>
      <c r="F132" s="32"/>
      <c r="G132" s="24" t="str">
        <f>IF(F132="","",IF(F132="Retard cotisation",'⚙️ PARAMÈTRES'!B8,IF(F132="Absence réunion",'⚙️ PARAMÈTRES'!B9,0)))</f>
        <v/>
      </c>
      <c r="H132" s="32"/>
      <c r="I132" s="23">
        <f t="shared" ref="I132:I195" si="2">IF(G132="",0,IF(H132="Oui",0,G132))</f>
        <v>0</v>
      </c>
    </row>
    <row r="133" spans="1:9" ht="19.5" customHeight="1" x14ac:dyDescent="0.3">
      <c r="A133" s="39" t="s">
        <v>548</v>
      </c>
      <c r="B133" s="36"/>
      <c r="C133" s="26" t="str">
        <f>IF(B133="","",IFERROR(VLOOKUP(B133,'👥 MEMBRES'!A:B,2,0),"?"))</f>
        <v/>
      </c>
      <c r="D133" s="26" t="str">
        <f>IF(B133="","",IFERROR(VLOOKUP(B133,'👥 MEMBRES'!A:C,3,0),"?"))</f>
        <v/>
      </c>
      <c r="E133" s="36"/>
      <c r="F133" s="36"/>
      <c r="G133" s="24" t="str">
        <f>IF(F133="","",IF(F133="Retard cotisation",'⚙️ PARAMÈTRES'!B8,IF(F133="Absence réunion",'⚙️ PARAMÈTRES'!B9,0)))</f>
        <v/>
      </c>
      <c r="H133" s="36"/>
      <c r="I133" s="23">
        <f t="shared" si="2"/>
        <v>0</v>
      </c>
    </row>
    <row r="134" spans="1:9" ht="19.5" customHeight="1" x14ac:dyDescent="0.3">
      <c r="A134" s="39" t="s">
        <v>549</v>
      </c>
      <c r="B134" s="32"/>
      <c r="C134" s="18" t="str">
        <f>IF(B134="","",IFERROR(VLOOKUP(B134,'👥 MEMBRES'!A:B,2,0),"?"))</f>
        <v/>
      </c>
      <c r="D134" s="18" t="str">
        <f>IF(B134="","",IFERROR(VLOOKUP(B134,'👥 MEMBRES'!A:C,3,0),"?"))</f>
        <v/>
      </c>
      <c r="E134" s="32"/>
      <c r="F134" s="32"/>
      <c r="G134" s="24" t="str">
        <f>IF(F134="","",IF(F134="Retard cotisation",'⚙️ PARAMÈTRES'!B8,IF(F134="Absence réunion",'⚙️ PARAMÈTRES'!B9,0)))</f>
        <v/>
      </c>
      <c r="H134" s="32"/>
      <c r="I134" s="23">
        <f t="shared" si="2"/>
        <v>0</v>
      </c>
    </row>
    <row r="135" spans="1:9" ht="19.5" customHeight="1" x14ac:dyDescent="0.3">
      <c r="A135" s="39" t="s">
        <v>550</v>
      </c>
      <c r="B135" s="36"/>
      <c r="C135" s="26" t="str">
        <f>IF(B135="","",IFERROR(VLOOKUP(B135,'👥 MEMBRES'!A:B,2,0),"?"))</f>
        <v/>
      </c>
      <c r="D135" s="26" t="str">
        <f>IF(B135="","",IFERROR(VLOOKUP(B135,'👥 MEMBRES'!A:C,3,0),"?"))</f>
        <v/>
      </c>
      <c r="E135" s="36"/>
      <c r="F135" s="36"/>
      <c r="G135" s="24" t="str">
        <f>IF(F135="","",IF(F135="Retard cotisation",'⚙️ PARAMÈTRES'!B8,IF(F135="Absence réunion",'⚙️ PARAMÈTRES'!B9,0)))</f>
        <v/>
      </c>
      <c r="H135" s="36"/>
      <c r="I135" s="23">
        <f t="shared" si="2"/>
        <v>0</v>
      </c>
    </row>
    <row r="136" spans="1:9" ht="19.5" customHeight="1" x14ac:dyDescent="0.3">
      <c r="A136" s="39" t="s">
        <v>551</v>
      </c>
      <c r="B136" s="32"/>
      <c r="C136" s="18" t="str">
        <f>IF(B136="","",IFERROR(VLOOKUP(B136,'👥 MEMBRES'!A:B,2,0),"?"))</f>
        <v/>
      </c>
      <c r="D136" s="18" t="str">
        <f>IF(B136="","",IFERROR(VLOOKUP(B136,'👥 MEMBRES'!A:C,3,0),"?"))</f>
        <v/>
      </c>
      <c r="E136" s="32"/>
      <c r="F136" s="32"/>
      <c r="G136" s="24" t="str">
        <f>IF(F136="","",IF(F136="Retard cotisation",'⚙️ PARAMÈTRES'!B8,IF(F136="Absence réunion",'⚙️ PARAMÈTRES'!B9,0)))</f>
        <v/>
      </c>
      <c r="H136" s="32"/>
      <c r="I136" s="23">
        <f t="shared" si="2"/>
        <v>0</v>
      </c>
    </row>
    <row r="137" spans="1:9" ht="19.5" customHeight="1" x14ac:dyDescent="0.3">
      <c r="A137" s="39" t="s">
        <v>552</v>
      </c>
      <c r="B137" s="36"/>
      <c r="C137" s="26" t="str">
        <f>IF(B137="","",IFERROR(VLOOKUP(B137,'👥 MEMBRES'!A:B,2,0),"?"))</f>
        <v/>
      </c>
      <c r="D137" s="26" t="str">
        <f>IF(B137="","",IFERROR(VLOOKUP(B137,'👥 MEMBRES'!A:C,3,0),"?"))</f>
        <v/>
      </c>
      <c r="E137" s="36"/>
      <c r="F137" s="36"/>
      <c r="G137" s="24" t="str">
        <f>IF(F137="","",IF(F137="Retard cotisation",'⚙️ PARAMÈTRES'!B8,IF(F137="Absence réunion",'⚙️ PARAMÈTRES'!B9,0)))</f>
        <v/>
      </c>
      <c r="H137" s="36"/>
      <c r="I137" s="23">
        <f t="shared" si="2"/>
        <v>0</v>
      </c>
    </row>
    <row r="138" spans="1:9" ht="19.5" customHeight="1" x14ac:dyDescent="0.3">
      <c r="A138" s="39" t="s">
        <v>553</v>
      </c>
      <c r="B138" s="32"/>
      <c r="C138" s="18" t="str">
        <f>IF(B138="","",IFERROR(VLOOKUP(B138,'👥 MEMBRES'!A:B,2,0),"?"))</f>
        <v/>
      </c>
      <c r="D138" s="18" t="str">
        <f>IF(B138="","",IFERROR(VLOOKUP(B138,'👥 MEMBRES'!A:C,3,0),"?"))</f>
        <v/>
      </c>
      <c r="E138" s="32"/>
      <c r="F138" s="32"/>
      <c r="G138" s="24" t="str">
        <f>IF(F138="","",IF(F138="Retard cotisation",'⚙️ PARAMÈTRES'!B8,IF(F138="Absence réunion",'⚙️ PARAMÈTRES'!B9,0)))</f>
        <v/>
      </c>
      <c r="H138" s="32"/>
      <c r="I138" s="23">
        <f t="shared" si="2"/>
        <v>0</v>
      </c>
    </row>
    <row r="139" spans="1:9" ht="19.5" customHeight="1" x14ac:dyDescent="0.3">
      <c r="A139" s="39" t="s">
        <v>554</v>
      </c>
      <c r="B139" s="36"/>
      <c r="C139" s="26" t="str">
        <f>IF(B139="","",IFERROR(VLOOKUP(B139,'👥 MEMBRES'!A:B,2,0),"?"))</f>
        <v/>
      </c>
      <c r="D139" s="26" t="str">
        <f>IF(B139="","",IFERROR(VLOOKUP(B139,'👥 MEMBRES'!A:C,3,0),"?"))</f>
        <v/>
      </c>
      <c r="E139" s="36"/>
      <c r="F139" s="36"/>
      <c r="G139" s="24" t="str">
        <f>IF(F139="","",IF(F139="Retard cotisation",'⚙️ PARAMÈTRES'!B8,IF(F139="Absence réunion",'⚙️ PARAMÈTRES'!B9,0)))</f>
        <v/>
      </c>
      <c r="H139" s="36"/>
      <c r="I139" s="23">
        <f t="shared" si="2"/>
        <v>0</v>
      </c>
    </row>
    <row r="140" spans="1:9" ht="19.5" customHeight="1" x14ac:dyDescent="0.3">
      <c r="A140" s="39" t="s">
        <v>555</v>
      </c>
      <c r="B140" s="32"/>
      <c r="C140" s="18" t="str">
        <f>IF(B140="","",IFERROR(VLOOKUP(B140,'👥 MEMBRES'!A:B,2,0),"?"))</f>
        <v/>
      </c>
      <c r="D140" s="18" t="str">
        <f>IF(B140="","",IFERROR(VLOOKUP(B140,'👥 MEMBRES'!A:C,3,0),"?"))</f>
        <v/>
      </c>
      <c r="E140" s="32"/>
      <c r="F140" s="32"/>
      <c r="G140" s="24" t="str">
        <f>IF(F140="","",IF(F140="Retard cotisation",'⚙️ PARAMÈTRES'!B8,IF(F140="Absence réunion",'⚙️ PARAMÈTRES'!B9,0)))</f>
        <v/>
      </c>
      <c r="H140" s="32"/>
      <c r="I140" s="23">
        <f t="shared" si="2"/>
        <v>0</v>
      </c>
    </row>
    <row r="141" spans="1:9" ht="19.5" customHeight="1" x14ac:dyDescent="0.3">
      <c r="A141" s="39" t="s">
        <v>556</v>
      </c>
      <c r="B141" s="36"/>
      <c r="C141" s="26" t="str">
        <f>IF(B141="","",IFERROR(VLOOKUP(B141,'👥 MEMBRES'!A:B,2,0),"?"))</f>
        <v/>
      </c>
      <c r="D141" s="26" t="str">
        <f>IF(B141="","",IFERROR(VLOOKUP(B141,'👥 MEMBRES'!A:C,3,0),"?"))</f>
        <v/>
      </c>
      <c r="E141" s="36"/>
      <c r="F141" s="36"/>
      <c r="G141" s="24" t="str">
        <f>IF(F141="","",IF(F141="Retard cotisation",'⚙️ PARAMÈTRES'!B8,IF(F141="Absence réunion",'⚙️ PARAMÈTRES'!B9,0)))</f>
        <v/>
      </c>
      <c r="H141" s="36"/>
      <c r="I141" s="23">
        <f t="shared" si="2"/>
        <v>0</v>
      </c>
    </row>
    <row r="142" spans="1:9" ht="19.5" customHeight="1" x14ac:dyDescent="0.3">
      <c r="A142" s="39" t="s">
        <v>557</v>
      </c>
      <c r="B142" s="32"/>
      <c r="C142" s="18" t="str">
        <f>IF(B142="","",IFERROR(VLOOKUP(B142,'👥 MEMBRES'!A:B,2,0),"?"))</f>
        <v/>
      </c>
      <c r="D142" s="18" t="str">
        <f>IF(B142="","",IFERROR(VLOOKUP(B142,'👥 MEMBRES'!A:C,3,0),"?"))</f>
        <v/>
      </c>
      <c r="E142" s="32"/>
      <c r="F142" s="32"/>
      <c r="G142" s="24" t="str">
        <f>IF(F142="","",IF(F142="Retard cotisation",'⚙️ PARAMÈTRES'!B8,IF(F142="Absence réunion",'⚙️ PARAMÈTRES'!B9,0)))</f>
        <v/>
      </c>
      <c r="H142" s="32"/>
      <c r="I142" s="23">
        <f t="shared" si="2"/>
        <v>0</v>
      </c>
    </row>
    <row r="143" spans="1:9" ht="19.5" customHeight="1" x14ac:dyDescent="0.3">
      <c r="A143" s="39" t="s">
        <v>558</v>
      </c>
      <c r="B143" s="36"/>
      <c r="C143" s="26" t="str">
        <f>IF(B143="","",IFERROR(VLOOKUP(B143,'👥 MEMBRES'!A:B,2,0),"?"))</f>
        <v/>
      </c>
      <c r="D143" s="26" t="str">
        <f>IF(B143="","",IFERROR(VLOOKUP(B143,'👥 MEMBRES'!A:C,3,0),"?"))</f>
        <v/>
      </c>
      <c r="E143" s="36"/>
      <c r="F143" s="36"/>
      <c r="G143" s="24" t="str">
        <f>IF(F143="","",IF(F143="Retard cotisation",'⚙️ PARAMÈTRES'!B8,IF(F143="Absence réunion",'⚙️ PARAMÈTRES'!B9,0)))</f>
        <v/>
      </c>
      <c r="H143" s="36"/>
      <c r="I143" s="23">
        <f t="shared" si="2"/>
        <v>0</v>
      </c>
    </row>
    <row r="144" spans="1:9" ht="19.5" customHeight="1" x14ac:dyDescent="0.3">
      <c r="A144" s="39" t="s">
        <v>559</v>
      </c>
      <c r="B144" s="32"/>
      <c r="C144" s="18" t="str">
        <f>IF(B144="","",IFERROR(VLOOKUP(B144,'👥 MEMBRES'!A:B,2,0),"?"))</f>
        <v/>
      </c>
      <c r="D144" s="18" t="str">
        <f>IF(B144="","",IFERROR(VLOOKUP(B144,'👥 MEMBRES'!A:C,3,0),"?"))</f>
        <v/>
      </c>
      <c r="E144" s="32"/>
      <c r="F144" s="32"/>
      <c r="G144" s="24" t="str">
        <f>IF(F144="","",IF(F144="Retard cotisation",'⚙️ PARAMÈTRES'!B8,IF(F144="Absence réunion",'⚙️ PARAMÈTRES'!B9,0)))</f>
        <v/>
      </c>
      <c r="H144" s="32"/>
      <c r="I144" s="23">
        <f t="shared" si="2"/>
        <v>0</v>
      </c>
    </row>
    <row r="145" spans="1:9" ht="19.5" customHeight="1" x14ac:dyDescent="0.3">
      <c r="A145" s="39" t="s">
        <v>560</v>
      </c>
      <c r="B145" s="36"/>
      <c r="C145" s="26" t="str">
        <f>IF(B145="","",IFERROR(VLOOKUP(B145,'👥 MEMBRES'!A:B,2,0),"?"))</f>
        <v/>
      </c>
      <c r="D145" s="26" t="str">
        <f>IF(B145="","",IFERROR(VLOOKUP(B145,'👥 MEMBRES'!A:C,3,0),"?"))</f>
        <v/>
      </c>
      <c r="E145" s="36"/>
      <c r="F145" s="36"/>
      <c r="G145" s="24" t="str">
        <f>IF(F145="","",IF(F145="Retard cotisation",'⚙️ PARAMÈTRES'!B8,IF(F145="Absence réunion",'⚙️ PARAMÈTRES'!B9,0)))</f>
        <v/>
      </c>
      <c r="H145" s="36"/>
      <c r="I145" s="23">
        <f t="shared" si="2"/>
        <v>0</v>
      </c>
    </row>
    <row r="146" spans="1:9" ht="19.5" customHeight="1" x14ac:dyDescent="0.3">
      <c r="A146" s="39" t="s">
        <v>561</v>
      </c>
      <c r="B146" s="32"/>
      <c r="C146" s="18" t="str">
        <f>IF(B146="","",IFERROR(VLOOKUP(B146,'👥 MEMBRES'!A:B,2,0),"?"))</f>
        <v/>
      </c>
      <c r="D146" s="18" t="str">
        <f>IF(B146="","",IFERROR(VLOOKUP(B146,'👥 MEMBRES'!A:C,3,0),"?"))</f>
        <v/>
      </c>
      <c r="E146" s="32"/>
      <c r="F146" s="32"/>
      <c r="G146" s="24" t="str">
        <f>IF(F146="","",IF(F146="Retard cotisation",'⚙️ PARAMÈTRES'!B8,IF(F146="Absence réunion",'⚙️ PARAMÈTRES'!B9,0)))</f>
        <v/>
      </c>
      <c r="H146" s="32"/>
      <c r="I146" s="23">
        <f t="shared" si="2"/>
        <v>0</v>
      </c>
    </row>
    <row r="147" spans="1:9" ht="19.5" customHeight="1" x14ac:dyDescent="0.3">
      <c r="A147" s="39" t="s">
        <v>562</v>
      </c>
      <c r="B147" s="36"/>
      <c r="C147" s="26" t="str">
        <f>IF(B147="","",IFERROR(VLOOKUP(B147,'👥 MEMBRES'!A:B,2,0),"?"))</f>
        <v/>
      </c>
      <c r="D147" s="26" t="str">
        <f>IF(B147="","",IFERROR(VLOOKUP(B147,'👥 MEMBRES'!A:C,3,0),"?"))</f>
        <v/>
      </c>
      <c r="E147" s="36"/>
      <c r="F147" s="36"/>
      <c r="G147" s="24" t="str">
        <f>IF(F147="","",IF(F147="Retard cotisation",'⚙️ PARAMÈTRES'!B8,IF(F147="Absence réunion",'⚙️ PARAMÈTRES'!B9,0)))</f>
        <v/>
      </c>
      <c r="H147" s="36"/>
      <c r="I147" s="23">
        <f t="shared" si="2"/>
        <v>0</v>
      </c>
    </row>
    <row r="148" spans="1:9" ht="19.5" customHeight="1" x14ac:dyDescent="0.3">
      <c r="A148" s="39" t="s">
        <v>563</v>
      </c>
      <c r="B148" s="32"/>
      <c r="C148" s="18" t="str">
        <f>IF(B148="","",IFERROR(VLOOKUP(B148,'👥 MEMBRES'!A:B,2,0),"?"))</f>
        <v/>
      </c>
      <c r="D148" s="18" t="str">
        <f>IF(B148="","",IFERROR(VLOOKUP(B148,'👥 MEMBRES'!A:C,3,0),"?"))</f>
        <v/>
      </c>
      <c r="E148" s="32"/>
      <c r="F148" s="32"/>
      <c r="G148" s="24" t="str">
        <f>IF(F148="","",IF(F148="Retard cotisation",'⚙️ PARAMÈTRES'!B8,IF(F148="Absence réunion",'⚙️ PARAMÈTRES'!B9,0)))</f>
        <v/>
      </c>
      <c r="H148" s="32"/>
      <c r="I148" s="23">
        <f t="shared" si="2"/>
        <v>0</v>
      </c>
    </row>
    <row r="149" spans="1:9" ht="19.5" customHeight="1" x14ac:dyDescent="0.3">
      <c r="A149" s="39" t="s">
        <v>564</v>
      </c>
      <c r="B149" s="36"/>
      <c r="C149" s="26" t="str">
        <f>IF(B149="","",IFERROR(VLOOKUP(B149,'👥 MEMBRES'!A:B,2,0),"?"))</f>
        <v/>
      </c>
      <c r="D149" s="26" t="str">
        <f>IF(B149="","",IFERROR(VLOOKUP(B149,'👥 MEMBRES'!A:C,3,0),"?"))</f>
        <v/>
      </c>
      <c r="E149" s="36"/>
      <c r="F149" s="36"/>
      <c r="G149" s="24" t="str">
        <f>IF(F149="","",IF(F149="Retard cotisation",'⚙️ PARAMÈTRES'!B8,IF(F149="Absence réunion",'⚙️ PARAMÈTRES'!B9,0)))</f>
        <v/>
      </c>
      <c r="H149" s="36"/>
      <c r="I149" s="23">
        <f t="shared" si="2"/>
        <v>0</v>
      </c>
    </row>
    <row r="150" spans="1:9" ht="19.5" customHeight="1" x14ac:dyDescent="0.3">
      <c r="A150" s="39" t="s">
        <v>565</v>
      </c>
      <c r="B150" s="32"/>
      <c r="C150" s="18" t="str">
        <f>IF(B150="","",IFERROR(VLOOKUP(B150,'👥 MEMBRES'!A:B,2,0),"?"))</f>
        <v/>
      </c>
      <c r="D150" s="18" t="str">
        <f>IF(B150="","",IFERROR(VLOOKUP(B150,'👥 MEMBRES'!A:C,3,0),"?"))</f>
        <v/>
      </c>
      <c r="E150" s="32"/>
      <c r="F150" s="32"/>
      <c r="G150" s="24" t="str">
        <f>IF(F150="","",IF(F150="Retard cotisation",'⚙️ PARAMÈTRES'!B8,IF(F150="Absence réunion",'⚙️ PARAMÈTRES'!B9,0)))</f>
        <v/>
      </c>
      <c r="H150" s="32"/>
      <c r="I150" s="23">
        <f t="shared" si="2"/>
        <v>0</v>
      </c>
    </row>
    <row r="151" spans="1:9" ht="19.5" customHeight="1" x14ac:dyDescent="0.3">
      <c r="A151" s="39" t="s">
        <v>566</v>
      </c>
      <c r="B151" s="36"/>
      <c r="C151" s="26" t="str">
        <f>IF(B151="","",IFERROR(VLOOKUP(B151,'👥 MEMBRES'!A:B,2,0),"?"))</f>
        <v/>
      </c>
      <c r="D151" s="26" t="str">
        <f>IF(B151="","",IFERROR(VLOOKUP(B151,'👥 MEMBRES'!A:C,3,0),"?"))</f>
        <v/>
      </c>
      <c r="E151" s="36"/>
      <c r="F151" s="36"/>
      <c r="G151" s="24" t="str">
        <f>IF(F151="","",IF(F151="Retard cotisation",'⚙️ PARAMÈTRES'!B8,IF(F151="Absence réunion",'⚙️ PARAMÈTRES'!B9,0)))</f>
        <v/>
      </c>
      <c r="H151" s="36"/>
      <c r="I151" s="23">
        <f t="shared" si="2"/>
        <v>0</v>
      </c>
    </row>
    <row r="152" spans="1:9" ht="19.5" customHeight="1" x14ac:dyDescent="0.3">
      <c r="A152" s="39" t="s">
        <v>567</v>
      </c>
      <c r="B152" s="32"/>
      <c r="C152" s="18" t="str">
        <f>IF(B152="","",IFERROR(VLOOKUP(B152,'👥 MEMBRES'!A:B,2,0),"?"))</f>
        <v/>
      </c>
      <c r="D152" s="18" t="str">
        <f>IF(B152="","",IFERROR(VLOOKUP(B152,'👥 MEMBRES'!A:C,3,0),"?"))</f>
        <v/>
      </c>
      <c r="E152" s="32"/>
      <c r="F152" s="32"/>
      <c r="G152" s="24" t="str">
        <f>IF(F152="","",IF(F152="Retard cotisation",'⚙️ PARAMÈTRES'!B8,IF(F152="Absence réunion",'⚙️ PARAMÈTRES'!B9,0)))</f>
        <v/>
      </c>
      <c r="H152" s="32"/>
      <c r="I152" s="23">
        <f t="shared" si="2"/>
        <v>0</v>
      </c>
    </row>
    <row r="153" spans="1:9" ht="19.5" customHeight="1" x14ac:dyDescent="0.3">
      <c r="A153" s="39" t="s">
        <v>568</v>
      </c>
      <c r="B153" s="36"/>
      <c r="C153" s="26" t="str">
        <f>IF(B153="","",IFERROR(VLOOKUP(B153,'👥 MEMBRES'!A:B,2,0),"?"))</f>
        <v/>
      </c>
      <c r="D153" s="26" t="str">
        <f>IF(B153="","",IFERROR(VLOOKUP(B153,'👥 MEMBRES'!A:C,3,0),"?"))</f>
        <v/>
      </c>
      <c r="E153" s="36"/>
      <c r="F153" s="36"/>
      <c r="G153" s="24" t="str">
        <f>IF(F153="","",IF(F153="Retard cotisation",'⚙️ PARAMÈTRES'!B8,IF(F153="Absence réunion",'⚙️ PARAMÈTRES'!B9,0)))</f>
        <v/>
      </c>
      <c r="H153" s="36"/>
      <c r="I153" s="23">
        <f t="shared" si="2"/>
        <v>0</v>
      </c>
    </row>
    <row r="154" spans="1:9" ht="19.5" customHeight="1" x14ac:dyDescent="0.3">
      <c r="A154" s="39" t="s">
        <v>569</v>
      </c>
      <c r="B154" s="32"/>
      <c r="C154" s="18" t="str">
        <f>IF(B154="","",IFERROR(VLOOKUP(B154,'👥 MEMBRES'!A:B,2,0),"?"))</f>
        <v/>
      </c>
      <c r="D154" s="18" t="str">
        <f>IF(B154="","",IFERROR(VLOOKUP(B154,'👥 MEMBRES'!A:C,3,0),"?"))</f>
        <v/>
      </c>
      <c r="E154" s="32"/>
      <c r="F154" s="32"/>
      <c r="G154" s="24" t="str">
        <f>IF(F154="","",IF(F154="Retard cotisation",'⚙️ PARAMÈTRES'!B8,IF(F154="Absence réunion",'⚙️ PARAMÈTRES'!B9,0)))</f>
        <v/>
      </c>
      <c r="H154" s="32"/>
      <c r="I154" s="23">
        <f t="shared" si="2"/>
        <v>0</v>
      </c>
    </row>
    <row r="155" spans="1:9" ht="19.5" customHeight="1" x14ac:dyDescent="0.3">
      <c r="A155" s="39" t="s">
        <v>570</v>
      </c>
      <c r="B155" s="36"/>
      <c r="C155" s="26" t="str">
        <f>IF(B155="","",IFERROR(VLOOKUP(B155,'👥 MEMBRES'!A:B,2,0),"?"))</f>
        <v/>
      </c>
      <c r="D155" s="26" t="str">
        <f>IF(B155="","",IFERROR(VLOOKUP(B155,'👥 MEMBRES'!A:C,3,0),"?"))</f>
        <v/>
      </c>
      <c r="E155" s="36"/>
      <c r="F155" s="36"/>
      <c r="G155" s="24" t="str">
        <f>IF(F155="","",IF(F155="Retard cotisation",'⚙️ PARAMÈTRES'!B8,IF(F155="Absence réunion",'⚙️ PARAMÈTRES'!B9,0)))</f>
        <v/>
      </c>
      <c r="H155" s="36"/>
      <c r="I155" s="23">
        <f t="shared" si="2"/>
        <v>0</v>
      </c>
    </row>
    <row r="156" spans="1:9" ht="19.5" customHeight="1" x14ac:dyDescent="0.3">
      <c r="A156" s="39" t="s">
        <v>571</v>
      </c>
      <c r="B156" s="32"/>
      <c r="C156" s="18" t="str">
        <f>IF(B156="","",IFERROR(VLOOKUP(B156,'👥 MEMBRES'!A:B,2,0),"?"))</f>
        <v/>
      </c>
      <c r="D156" s="18" t="str">
        <f>IF(B156="","",IFERROR(VLOOKUP(B156,'👥 MEMBRES'!A:C,3,0),"?"))</f>
        <v/>
      </c>
      <c r="E156" s="32"/>
      <c r="F156" s="32"/>
      <c r="G156" s="24" t="str">
        <f>IF(F156="","",IF(F156="Retard cotisation",'⚙️ PARAMÈTRES'!B8,IF(F156="Absence réunion",'⚙️ PARAMÈTRES'!B9,0)))</f>
        <v/>
      </c>
      <c r="H156" s="32"/>
      <c r="I156" s="23">
        <f t="shared" si="2"/>
        <v>0</v>
      </c>
    </row>
    <row r="157" spans="1:9" ht="19.5" customHeight="1" x14ac:dyDescent="0.3">
      <c r="A157" s="39" t="s">
        <v>572</v>
      </c>
      <c r="B157" s="36"/>
      <c r="C157" s="26" t="str">
        <f>IF(B157="","",IFERROR(VLOOKUP(B157,'👥 MEMBRES'!A:B,2,0),"?"))</f>
        <v/>
      </c>
      <c r="D157" s="26" t="str">
        <f>IF(B157="","",IFERROR(VLOOKUP(B157,'👥 MEMBRES'!A:C,3,0),"?"))</f>
        <v/>
      </c>
      <c r="E157" s="36"/>
      <c r="F157" s="36"/>
      <c r="G157" s="24" t="str">
        <f>IF(F157="","",IF(F157="Retard cotisation",'⚙️ PARAMÈTRES'!B8,IF(F157="Absence réunion",'⚙️ PARAMÈTRES'!B9,0)))</f>
        <v/>
      </c>
      <c r="H157" s="36"/>
      <c r="I157" s="23">
        <f t="shared" si="2"/>
        <v>0</v>
      </c>
    </row>
    <row r="158" spans="1:9" ht="19.5" customHeight="1" x14ac:dyDescent="0.3">
      <c r="A158" s="39" t="s">
        <v>573</v>
      </c>
      <c r="B158" s="32"/>
      <c r="C158" s="18" t="str">
        <f>IF(B158="","",IFERROR(VLOOKUP(B158,'👥 MEMBRES'!A:B,2,0),"?"))</f>
        <v/>
      </c>
      <c r="D158" s="18" t="str">
        <f>IF(B158="","",IFERROR(VLOOKUP(B158,'👥 MEMBRES'!A:C,3,0),"?"))</f>
        <v/>
      </c>
      <c r="E158" s="32"/>
      <c r="F158" s="32"/>
      <c r="G158" s="24" t="str">
        <f>IF(F158="","",IF(F158="Retard cotisation",'⚙️ PARAMÈTRES'!B8,IF(F158="Absence réunion",'⚙️ PARAMÈTRES'!B9,0)))</f>
        <v/>
      </c>
      <c r="H158" s="32"/>
      <c r="I158" s="23">
        <f t="shared" si="2"/>
        <v>0</v>
      </c>
    </row>
    <row r="159" spans="1:9" ht="19.5" customHeight="1" x14ac:dyDescent="0.3">
      <c r="A159" s="39" t="s">
        <v>574</v>
      </c>
      <c r="B159" s="36"/>
      <c r="C159" s="26" t="str">
        <f>IF(B159="","",IFERROR(VLOOKUP(B159,'👥 MEMBRES'!A:B,2,0),"?"))</f>
        <v/>
      </c>
      <c r="D159" s="26" t="str">
        <f>IF(B159="","",IFERROR(VLOOKUP(B159,'👥 MEMBRES'!A:C,3,0),"?"))</f>
        <v/>
      </c>
      <c r="E159" s="36"/>
      <c r="F159" s="36"/>
      <c r="G159" s="24" t="str">
        <f>IF(F159="","",IF(F159="Retard cotisation",'⚙️ PARAMÈTRES'!B8,IF(F159="Absence réunion",'⚙️ PARAMÈTRES'!B9,0)))</f>
        <v/>
      </c>
      <c r="H159" s="36"/>
      <c r="I159" s="23">
        <f t="shared" si="2"/>
        <v>0</v>
      </c>
    </row>
    <row r="160" spans="1:9" ht="19.5" customHeight="1" x14ac:dyDescent="0.3">
      <c r="A160" s="39" t="s">
        <v>575</v>
      </c>
      <c r="B160" s="32"/>
      <c r="C160" s="18" t="str">
        <f>IF(B160="","",IFERROR(VLOOKUP(B160,'👥 MEMBRES'!A:B,2,0),"?"))</f>
        <v/>
      </c>
      <c r="D160" s="18" t="str">
        <f>IF(B160="","",IFERROR(VLOOKUP(B160,'👥 MEMBRES'!A:C,3,0),"?"))</f>
        <v/>
      </c>
      <c r="E160" s="32"/>
      <c r="F160" s="32"/>
      <c r="G160" s="24" t="str">
        <f>IF(F160="","",IF(F160="Retard cotisation",'⚙️ PARAMÈTRES'!B8,IF(F160="Absence réunion",'⚙️ PARAMÈTRES'!B9,0)))</f>
        <v/>
      </c>
      <c r="H160" s="32"/>
      <c r="I160" s="23">
        <f t="shared" si="2"/>
        <v>0</v>
      </c>
    </row>
    <row r="161" spans="1:9" ht="19.5" customHeight="1" x14ac:dyDescent="0.3">
      <c r="A161" s="39" t="s">
        <v>576</v>
      </c>
      <c r="B161" s="36"/>
      <c r="C161" s="26" t="str">
        <f>IF(B161="","",IFERROR(VLOOKUP(B161,'👥 MEMBRES'!A:B,2,0),"?"))</f>
        <v/>
      </c>
      <c r="D161" s="26" t="str">
        <f>IF(B161="","",IFERROR(VLOOKUP(B161,'👥 MEMBRES'!A:C,3,0),"?"))</f>
        <v/>
      </c>
      <c r="E161" s="36"/>
      <c r="F161" s="36"/>
      <c r="G161" s="24" t="str">
        <f>IF(F161="","",IF(F161="Retard cotisation",'⚙️ PARAMÈTRES'!B8,IF(F161="Absence réunion",'⚙️ PARAMÈTRES'!B9,0)))</f>
        <v/>
      </c>
      <c r="H161" s="36"/>
      <c r="I161" s="23">
        <f t="shared" si="2"/>
        <v>0</v>
      </c>
    </row>
    <row r="162" spans="1:9" ht="19.5" customHeight="1" x14ac:dyDescent="0.3">
      <c r="A162" s="39" t="s">
        <v>577</v>
      </c>
      <c r="B162" s="32"/>
      <c r="C162" s="18" t="str">
        <f>IF(B162="","",IFERROR(VLOOKUP(B162,'👥 MEMBRES'!A:B,2,0),"?"))</f>
        <v/>
      </c>
      <c r="D162" s="18" t="str">
        <f>IF(B162="","",IFERROR(VLOOKUP(B162,'👥 MEMBRES'!A:C,3,0),"?"))</f>
        <v/>
      </c>
      <c r="E162" s="32"/>
      <c r="F162" s="32"/>
      <c r="G162" s="24" t="str">
        <f>IF(F162="","",IF(F162="Retard cotisation",'⚙️ PARAMÈTRES'!B8,IF(F162="Absence réunion",'⚙️ PARAMÈTRES'!B9,0)))</f>
        <v/>
      </c>
      <c r="H162" s="32"/>
      <c r="I162" s="23">
        <f t="shared" si="2"/>
        <v>0</v>
      </c>
    </row>
    <row r="163" spans="1:9" ht="19.5" customHeight="1" x14ac:dyDescent="0.3">
      <c r="A163" s="39" t="s">
        <v>578</v>
      </c>
      <c r="B163" s="36"/>
      <c r="C163" s="26" t="str">
        <f>IF(B163="","",IFERROR(VLOOKUP(B163,'👥 MEMBRES'!A:B,2,0),"?"))</f>
        <v/>
      </c>
      <c r="D163" s="26" t="str">
        <f>IF(B163="","",IFERROR(VLOOKUP(B163,'👥 MEMBRES'!A:C,3,0),"?"))</f>
        <v/>
      </c>
      <c r="E163" s="36"/>
      <c r="F163" s="36"/>
      <c r="G163" s="24" t="str">
        <f>IF(F163="","",IF(F163="Retard cotisation",'⚙️ PARAMÈTRES'!B8,IF(F163="Absence réunion",'⚙️ PARAMÈTRES'!B9,0)))</f>
        <v/>
      </c>
      <c r="H163" s="36"/>
      <c r="I163" s="23">
        <f t="shared" si="2"/>
        <v>0</v>
      </c>
    </row>
    <row r="164" spans="1:9" ht="19.5" customHeight="1" x14ac:dyDescent="0.3">
      <c r="A164" s="39" t="s">
        <v>579</v>
      </c>
      <c r="B164" s="32"/>
      <c r="C164" s="18" t="str">
        <f>IF(B164="","",IFERROR(VLOOKUP(B164,'👥 MEMBRES'!A:B,2,0),"?"))</f>
        <v/>
      </c>
      <c r="D164" s="18" t="str">
        <f>IF(B164="","",IFERROR(VLOOKUP(B164,'👥 MEMBRES'!A:C,3,0),"?"))</f>
        <v/>
      </c>
      <c r="E164" s="32"/>
      <c r="F164" s="32"/>
      <c r="G164" s="24" t="str">
        <f>IF(F164="","",IF(F164="Retard cotisation",'⚙️ PARAMÈTRES'!B8,IF(F164="Absence réunion",'⚙️ PARAMÈTRES'!B9,0)))</f>
        <v/>
      </c>
      <c r="H164" s="32"/>
      <c r="I164" s="23">
        <f t="shared" si="2"/>
        <v>0</v>
      </c>
    </row>
    <row r="165" spans="1:9" ht="19.5" customHeight="1" x14ac:dyDescent="0.3">
      <c r="A165" s="39" t="s">
        <v>580</v>
      </c>
      <c r="B165" s="36"/>
      <c r="C165" s="26" t="str">
        <f>IF(B165="","",IFERROR(VLOOKUP(B165,'👥 MEMBRES'!A:B,2,0),"?"))</f>
        <v/>
      </c>
      <c r="D165" s="26" t="str">
        <f>IF(B165="","",IFERROR(VLOOKUP(B165,'👥 MEMBRES'!A:C,3,0),"?"))</f>
        <v/>
      </c>
      <c r="E165" s="36"/>
      <c r="F165" s="36"/>
      <c r="G165" s="24" t="str">
        <f>IF(F165="","",IF(F165="Retard cotisation",'⚙️ PARAMÈTRES'!B8,IF(F165="Absence réunion",'⚙️ PARAMÈTRES'!B9,0)))</f>
        <v/>
      </c>
      <c r="H165" s="36"/>
      <c r="I165" s="23">
        <f t="shared" si="2"/>
        <v>0</v>
      </c>
    </row>
    <row r="166" spans="1:9" ht="19.5" customHeight="1" x14ac:dyDescent="0.3">
      <c r="A166" s="39" t="s">
        <v>581</v>
      </c>
      <c r="B166" s="32"/>
      <c r="C166" s="18" t="str">
        <f>IF(B166="","",IFERROR(VLOOKUP(B166,'👥 MEMBRES'!A:B,2,0),"?"))</f>
        <v/>
      </c>
      <c r="D166" s="18" t="str">
        <f>IF(B166="","",IFERROR(VLOOKUP(B166,'👥 MEMBRES'!A:C,3,0),"?"))</f>
        <v/>
      </c>
      <c r="E166" s="32"/>
      <c r="F166" s="32"/>
      <c r="G166" s="24" t="str">
        <f>IF(F166="","",IF(F166="Retard cotisation",'⚙️ PARAMÈTRES'!B8,IF(F166="Absence réunion",'⚙️ PARAMÈTRES'!B9,0)))</f>
        <v/>
      </c>
      <c r="H166" s="32"/>
      <c r="I166" s="23">
        <f t="shared" si="2"/>
        <v>0</v>
      </c>
    </row>
    <row r="167" spans="1:9" ht="19.5" customHeight="1" x14ac:dyDescent="0.3">
      <c r="A167" s="39" t="s">
        <v>582</v>
      </c>
      <c r="B167" s="36"/>
      <c r="C167" s="26" t="str">
        <f>IF(B167="","",IFERROR(VLOOKUP(B167,'👥 MEMBRES'!A:B,2,0),"?"))</f>
        <v/>
      </c>
      <c r="D167" s="26" t="str">
        <f>IF(B167="","",IFERROR(VLOOKUP(B167,'👥 MEMBRES'!A:C,3,0),"?"))</f>
        <v/>
      </c>
      <c r="E167" s="36"/>
      <c r="F167" s="36"/>
      <c r="G167" s="24" t="str">
        <f>IF(F167="","",IF(F167="Retard cotisation",'⚙️ PARAMÈTRES'!B8,IF(F167="Absence réunion",'⚙️ PARAMÈTRES'!B9,0)))</f>
        <v/>
      </c>
      <c r="H167" s="36"/>
      <c r="I167" s="23">
        <f t="shared" si="2"/>
        <v>0</v>
      </c>
    </row>
    <row r="168" spans="1:9" ht="19.5" customHeight="1" x14ac:dyDescent="0.3">
      <c r="A168" s="39" t="s">
        <v>583</v>
      </c>
      <c r="B168" s="32"/>
      <c r="C168" s="18" t="str">
        <f>IF(B168="","",IFERROR(VLOOKUP(B168,'👥 MEMBRES'!A:B,2,0),"?"))</f>
        <v/>
      </c>
      <c r="D168" s="18" t="str">
        <f>IF(B168="","",IFERROR(VLOOKUP(B168,'👥 MEMBRES'!A:C,3,0),"?"))</f>
        <v/>
      </c>
      <c r="E168" s="32"/>
      <c r="F168" s="32"/>
      <c r="G168" s="24" t="str">
        <f>IF(F168="","",IF(F168="Retard cotisation",'⚙️ PARAMÈTRES'!B8,IF(F168="Absence réunion",'⚙️ PARAMÈTRES'!B9,0)))</f>
        <v/>
      </c>
      <c r="H168" s="32"/>
      <c r="I168" s="23">
        <f t="shared" si="2"/>
        <v>0</v>
      </c>
    </row>
    <row r="169" spans="1:9" ht="19.5" customHeight="1" x14ac:dyDescent="0.3">
      <c r="A169" s="39" t="s">
        <v>584</v>
      </c>
      <c r="B169" s="36"/>
      <c r="C169" s="26" t="str">
        <f>IF(B169="","",IFERROR(VLOOKUP(B169,'👥 MEMBRES'!A:B,2,0),"?"))</f>
        <v/>
      </c>
      <c r="D169" s="26" t="str">
        <f>IF(B169="","",IFERROR(VLOOKUP(B169,'👥 MEMBRES'!A:C,3,0),"?"))</f>
        <v/>
      </c>
      <c r="E169" s="36"/>
      <c r="F169" s="36"/>
      <c r="G169" s="24" t="str">
        <f>IF(F169="","",IF(F169="Retard cotisation",'⚙️ PARAMÈTRES'!B8,IF(F169="Absence réunion",'⚙️ PARAMÈTRES'!B9,0)))</f>
        <v/>
      </c>
      <c r="H169" s="36"/>
      <c r="I169" s="23">
        <f t="shared" si="2"/>
        <v>0</v>
      </c>
    </row>
    <row r="170" spans="1:9" ht="19.5" customHeight="1" x14ac:dyDescent="0.3">
      <c r="A170" s="39" t="s">
        <v>585</v>
      </c>
      <c r="B170" s="32"/>
      <c r="C170" s="18" t="str">
        <f>IF(B170="","",IFERROR(VLOOKUP(B170,'👥 MEMBRES'!A:B,2,0),"?"))</f>
        <v/>
      </c>
      <c r="D170" s="18" t="str">
        <f>IF(B170="","",IFERROR(VLOOKUP(B170,'👥 MEMBRES'!A:C,3,0),"?"))</f>
        <v/>
      </c>
      <c r="E170" s="32"/>
      <c r="F170" s="32"/>
      <c r="G170" s="24" t="str">
        <f>IF(F170="","",IF(F170="Retard cotisation",'⚙️ PARAMÈTRES'!B8,IF(F170="Absence réunion",'⚙️ PARAMÈTRES'!B9,0)))</f>
        <v/>
      </c>
      <c r="H170" s="32"/>
      <c r="I170" s="23">
        <f t="shared" si="2"/>
        <v>0</v>
      </c>
    </row>
    <row r="171" spans="1:9" ht="19.5" customHeight="1" x14ac:dyDescent="0.3">
      <c r="A171" s="39" t="s">
        <v>586</v>
      </c>
      <c r="B171" s="36"/>
      <c r="C171" s="26" t="str">
        <f>IF(B171="","",IFERROR(VLOOKUP(B171,'👥 MEMBRES'!A:B,2,0),"?"))</f>
        <v/>
      </c>
      <c r="D171" s="26" t="str">
        <f>IF(B171="","",IFERROR(VLOOKUP(B171,'👥 MEMBRES'!A:C,3,0),"?"))</f>
        <v/>
      </c>
      <c r="E171" s="36"/>
      <c r="F171" s="36"/>
      <c r="G171" s="24" t="str">
        <f>IF(F171="","",IF(F171="Retard cotisation",'⚙️ PARAMÈTRES'!B8,IF(F171="Absence réunion",'⚙️ PARAMÈTRES'!B9,0)))</f>
        <v/>
      </c>
      <c r="H171" s="36"/>
      <c r="I171" s="23">
        <f t="shared" si="2"/>
        <v>0</v>
      </c>
    </row>
    <row r="172" spans="1:9" ht="19.5" customHeight="1" x14ac:dyDescent="0.3">
      <c r="A172" s="39" t="s">
        <v>587</v>
      </c>
      <c r="B172" s="32"/>
      <c r="C172" s="18" t="str">
        <f>IF(B172="","",IFERROR(VLOOKUP(B172,'👥 MEMBRES'!A:B,2,0),"?"))</f>
        <v/>
      </c>
      <c r="D172" s="18" t="str">
        <f>IF(B172="","",IFERROR(VLOOKUP(B172,'👥 MEMBRES'!A:C,3,0),"?"))</f>
        <v/>
      </c>
      <c r="E172" s="32"/>
      <c r="F172" s="32"/>
      <c r="G172" s="24" t="str">
        <f>IF(F172="","",IF(F172="Retard cotisation",'⚙️ PARAMÈTRES'!B8,IF(F172="Absence réunion",'⚙️ PARAMÈTRES'!B9,0)))</f>
        <v/>
      </c>
      <c r="H172" s="32"/>
      <c r="I172" s="23">
        <f t="shared" si="2"/>
        <v>0</v>
      </c>
    </row>
    <row r="173" spans="1:9" ht="19.5" customHeight="1" x14ac:dyDescent="0.3">
      <c r="A173" s="39" t="s">
        <v>588</v>
      </c>
      <c r="B173" s="36"/>
      <c r="C173" s="26" t="str">
        <f>IF(B173="","",IFERROR(VLOOKUP(B173,'👥 MEMBRES'!A:B,2,0),"?"))</f>
        <v/>
      </c>
      <c r="D173" s="26" t="str">
        <f>IF(B173="","",IFERROR(VLOOKUP(B173,'👥 MEMBRES'!A:C,3,0),"?"))</f>
        <v/>
      </c>
      <c r="E173" s="36"/>
      <c r="F173" s="36"/>
      <c r="G173" s="24" t="str">
        <f>IF(F173="","",IF(F173="Retard cotisation",'⚙️ PARAMÈTRES'!B8,IF(F173="Absence réunion",'⚙️ PARAMÈTRES'!B9,0)))</f>
        <v/>
      </c>
      <c r="H173" s="36"/>
      <c r="I173" s="23">
        <f t="shared" si="2"/>
        <v>0</v>
      </c>
    </row>
    <row r="174" spans="1:9" ht="19.5" customHeight="1" x14ac:dyDescent="0.3">
      <c r="A174" s="39" t="s">
        <v>589</v>
      </c>
      <c r="B174" s="32"/>
      <c r="C174" s="18" t="str">
        <f>IF(B174="","",IFERROR(VLOOKUP(B174,'👥 MEMBRES'!A:B,2,0),"?"))</f>
        <v/>
      </c>
      <c r="D174" s="18" t="str">
        <f>IF(B174="","",IFERROR(VLOOKUP(B174,'👥 MEMBRES'!A:C,3,0),"?"))</f>
        <v/>
      </c>
      <c r="E174" s="32"/>
      <c r="F174" s="32"/>
      <c r="G174" s="24" t="str">
        <f>IF(F174="","",IF(F174="Retard cotisation",'⚙️ PARAMÈTRES'!B8,IF(F174="Absence réunion",'⚙️ PARAMÈTRES'!B9,0)))</f>
        <v/>
      </c>
      <c r="H174" s="32"/>
      <c r="I174" s="23">
        <f t="shared" si="2"/>
        <v>0</v>
      </c>
    </row>
    <row r="175" spans="1:9" ht="19.5" customHeight="1" x14ac:dyDescent="0.3">
      <c r="A175" s="39" t="s">
        <v>590</v>
      </c>
      <c r="B175" s="36"/>
      <c r="C175" s="26" t="str">
        <f>IF(B175="","",IFERROR(VLOOKUP(B175,'👥 MEMBRES'!A:B,2,0),"?"))</f>
        <v/>
      </c>
      <c r="D175" s="26" t="str">
        <f>IF(B175="","",IFERROR(VLOOKUP(B175,'👥 MEMBRES'!A:C,3,0),"?"))</f>
        <v/>
      </c>
      <c r="E175" s="36"/>
      <c r="F175" s="36"/>
      <c r="G175" s="24" t="str">
        <f>IF(F175="","",IF(F175="Retard cotisation",'⚙️ PARAMÈTRES'!B8,IF(F175="Absence réunion",'⚙️ PARAMÈTRES'!B9,0)))</f>
        <v/>
      </c>
      <c r="H175" s="36"/>
      <c r="I175" s="23">
        <f t="shared" si="2"/>
        <v>0</v>
      </c>
    </row>
    <row r="176" spans="1:9" ht="19.5" customHeight="1" x14ac:dyDescent="0.3">
      <c r="A176" s="39" t="s">
        <v>591</v>
      </c>
      <c r="B176" s="32"/>
      <c r="C176" s="18" t="str">
        <f>IF(B176="","",IFERROR(VLOOKUP(B176,'👥 MEMBRES'!A:B,2,0),"?"))</f>
        <v/>
      </c>
      <c r="D176" s="18" t="str">
        <f>IF(B176="","",IFERROR(VLOOKUP(B176,'👥 MEMBRES'!A:C,3,0),"?"))</f>
        <v/>
      </c>
      <c r="E176" s="32"/>
      <c r="F176" s="32"/>
      <c r="G176" s="24" t="str">
        <f>IF(F176="","",IF(F176="Retard cotisation",'⚙️ PARAMÈTRES'!B8,IF(F176="Absence réunion",'⚙️ PARAMÈTRES'!B9,0)))</f>
        <v/>
      </c>
      <c r="H176" s="32"/>
      <c r="I176" s="23">
        <f t="shared" si="2"/>
        <v>0</v>
      </c>
    </row>
    <row r="177" spans="1:9" ht="19.5" customHeight="1" x14ac:dyDescent="0.3">
      <c r="A177" s="39" t="s">
        <v>592</v>
      </c>
      <c r="B177" s="36"/>
      <c r="C177" s="26" t="str">
        <f>IF(B177="","",IFERROR(VLOOKUP(B177,'👥 MEMBRES'!A:B,2,0),"?"))</f>
        <v/>
      </c>
      <c r="D177" s="26" t="str">
        <f>IF(B177="","",IFERROR(VLOOKUP(B177,'👥 MEMBRES'!A:C,3,0),"?"))</f>
        <v/>
      </c>
      <c r="E177" s="36"/>
      <c r="F177" s="36"/>
      <c r="G177" s="24" t="str">
        <f>IF(F177="","",IF(F177="Retard cotisation",'⚙️ PARAMÈTRES'!B8,IF(F177="Absence réunion",'⚙️ PARAMÈTRES'!B9,0)))</f>
        <v/>
      </c>
      <c r="H177" s="36"/>
      <c r="I177" s="23">
        <f t="shared" si="2"/>
        <v>0</v>
      </c>
    </row>
    <row r="178" spans="1:9" ht="19.5" customHeight="1" x14ac:dyDescent="0.3">
      <c r="A178" s="39" t="s">
        <v>593</v>
      </c>
      <c r="B178" s="32"/>
      <c r="C178" s="18" t="str">
        <f>IF(B178="","",IFERROR(VLOOKUP(B178,'👥 MEMBRES'!A:B,2,0),"?"))</f>
        <v/>
      </c>
      <c r="D178" s="18" t="str">
        <f>IF(B178="","",IFERROR(VLOOKUP(B178,'👥 MEMBRES'!A:C,3,0),"?"))</f>
        <v/>
      </c>
      <c r="E178" s="32"/>
      <c r="F178" s="32"/>
      <c r="G178" s="24" t="str">
        <f>IF(F178="","",IF(F178="Retard cotisation",'⚙️ PARAMÈTRES'!B8,IF(F178="Absence réunion",'⚙️ PARAMÈTRES'!B9,0)))</f>
        <v/>
      </c>
      <c r="H178" s="32"/>
      <c r="I178" s="23">
        <f t="shared" si="2"/>
        <v>0</v>
      </c>
    </row>
    <row r="179" spans="1:9" ht="19.5" customHeight="1" x14ac:dyDescent="0.3">
      <c r="A179" s="39" t="s">
        <v>594</v>
      </c>
      <c r="B179" s="36"/>
      <c r="C179" s="26" t="str">
        <f>IF(B179="","",IFERROR(VLOOKUP(B179,'👥 MEMBRES'!A:B,2,0),"?"))</f>
        <v/>
      </c>
      <c r="D179" s="26" t="str">
        <f>IF(B179="","",IFERROR(VLOOKUP(B179,'👥 MEMBRES'!A:C,3,0),"?"))</f>
        <v/>
      </c>
      <c r="E179" s="36"/>
      <c r="F179" s="36"/>
      <c r="G179" s="24" t="str">
        <f>IF(F179="","",IF(F179="Retard cotisation",'⚙️ PARAMÈTRES'!B8,IF(F179="Absence réunion",'⚙️ PARAMÈTRES'!B9,0)))</f>
        <v/>
      </c>
      <c r="H179" s="36"/>
      <c r="I179" s="23">
        <f t="shared" si="2"/>
        <v>0</v>
      </c>
    </row>
    <row r="180" spans="1:9" ht="19.5" customHeight="1" x14ac:dyDescent="0.3">
      <c r="A180" s="39" t="s">
        <v>595</v>
      </c>
      <c r="B180" s="32"/>
      <c r="C180" s="18" t="str">
        <f>IF(B180="","",IFERROR(VLOOKUP(B180,'👥 MEMBRES'!A:B,2,0),"?"))</f>
        <v/>
      </c>
      <c r="D180" s="18" t="str">
        <f>IF(B180="","",IFERROR(VLOOKUP(B180,'👥 MEMBRES'!A:C,3,0),"?"))</f>
        <v/>
      </c>
      <c r="E180" s="32"/>
      <c r="F180" s="32"/>
      <c r="G180" s="24" t="str">
        <f>IF(F180="","",IF(F180="Retard cotisation",'⚙️ PARAMÈTRES'!B8,IF(F180="Absence réunion",'⚙️ PARAMÈTRES'!B9,0)))</f>
        <v/>
      </c>
      <c r="H180" s="32"/>
      <c r="I180" s="23">
        <f t="shared" si="2"/>
        <v>0</v>
      </c>
    </row>
    <row r="181" spans="1:9" ht="19.5" customHeight="1" x14ac:dyDescent="0.3">
      <c r="A181" s="39" t="s">
        <v>596</v>
      </c>
      <c r="B181" s="36"/>
      <c r="C181" s="26" t="str">
        <f>IF(B181="","",IFERROR(VLOOKUP(B181,'👥 MEMBRES'!A:B,2,0),"?"))</f>
        <v/>
      </c>
      <c r="D181" s="26" t="str">
        <f>IF(B181="","",IFERROR(VLOOKUP(B181,'👥 MEMBRES'!A:C,3,0),"?"))</f>
        <v/>
      </c>
      <c r="E181" s="36"/>
      <c r="F181" s="36"/>
      <c r="G181" s="24" t="str">
        <f>IF(F181="","",IF(F181="Retard cotisation",'⚙️ PARAMÈTRES'!B8,IF(F181="Absence réunion",'⚙️ PARAMÈTRES'!B9,0)))</f>
        <v/>
      </c>
      <c r="H181" s="36"/>
      <c r="I181" s="23">
        <f t="shared" si="2"/>
        <v>0</v>
      </c>
    </row>
    <row r="182" spans="1:9" ht="19.5" customHeight="1" x14ac:dyDescent="0.3">
      <c r="A182" s="39" t="s">
        <v>597</v>
      </c>
      <c r="B182" s="32"/>
      <c r="C182" s="18" t="str">
        <f>IF(B182="","",IFERROR(VLOOKUP(B182,'👥 MEMBRES'!A:B,2,0),"?"))</f>
        <v/>
      </c>
      <c r="D182" s="18" t="str">
        <f>IF(B182="","",IFERROR(VLOOKUP(B182,'👥 MEMBRES'!A:C,3,0),"?"))</f>
        <v/>
      </c>
      <c r="E182" s="32"/>
      <c r="F182" s="32"/>
      <c r="G182" s="24" t="str">
        <f>IF(F182="","",IF(F182="Retard cotisation",'⚙️ PARAMÈTRES'!B8,IF(F182="Absence réunion",'⚙️ PARAMÈTRES'!B9,0)))</f>
        <v/>
      </c>
      <c r="H182" s="32"/>
      <c r="I182" s="23">
        <f t="shared" si="2"/>
        <v>0</v>
      </c>
    </row>
    <row r="183" spans="1:9" ht="19.5" customHeight="1" x14ac:dyDescent="0.3">
      <c r="A183" s="39" t="s">
        <v>598</v>
      </c>
      <c r="B183" s="36"/>
      <c r="C183" s="26" t="str">
        <f>IF(B183="","",IFERROR(VLOOKUP(B183,'👥 MEMBRES'!A:B,2,0),"?"))</f>
        <v/>
      </c>
      <c r="D183" s="26" t="str">
        <f>IF(B183="","",IFERROR(VLOOKUP(B183,'👥 MEMBRES'!A:C,3,0),"?"))</f>
        <v/>
      </c>
      <c r="E183" s="36"/>
      <c r="F183" s="36"/>
      <c r="G183" s="24" t="str">
        <f>IF(F183="","",IF(F183="Retard cotisation",'⚙️ PARAMÈTRES'!B8,IF(F183="Absence réunion",'⚙️ PARAMÈTRES'!B9,0)))</f>
        <v/>
      </c>
      <c r="H183" s="36"/>
      <c r="I183" s="23">
        <f t="shared" si="2"/>
        <v>0</v>
      </c>
    </row>
    <row r="184" spans="1:9" ht="19.5" customHeight="1" x14ac:dyDescent="0.3">
      <c r="A184" s="39" t="s">
        <v>599</v>
      </c>
      <c r="B184" s="32"/>
      <c r="C184" s="18" t="str">
        <f>IF(B184="","",IFERROR(VLOOKUP(B184,'👥 MEMBRES'!A:B,2,0),"?"))</f>
        <v/>
      </c>
      <c r="D184" s="18" t="str">
        <f>IF(B184="","",IFERROR(VLOOKUP(B184,'👥 MEMBRES'!A:C,3,0),"?"))</f>
        <v/>
      </c>
      <c r="E184" s="32"/>
      <c r="F184" s="32"/>
      <c r="G184" s="24" t="str">
        <f>IF(F184="","",IF(F184="Retard cotisation",'⚙️ PARAMÈTRES'!B8,IF(F184="Absence réunion",'⚙️ PARAMÈTRES'!B9,0)))</f>
        <v/>
      </c>
      <c r="H184" s="32"/>
      <c r="I184" s="23">
        <f t="shared" si="2"/>
        <v>0</v>
      </c>
    </row>
    <row r="185" spans="1:9" ht="19.5" customHeight="1" x14ac:dyDescent="0.3">
      <c r="A185" s="39" t="s">
        <v>600</v>
      </c>
      <c r="B185" s="36"/>
      <c r="C185" s="26" t="str">
        <f>IF(B185="","",IFERROR(VLOOKUP(B185,'👥 MEMBRES'!A:B,2,0),"?"))</f>
        <v/>
      </c>
      <c r="D185" s="26" t="str">
        <f>IF(B185="","",IFERROR(VLOOKUP(B185,'👥 MEMBRES'!A:C,3,0),"?"))</f>
        <v/>
      </c>
      <c r="E185" s="36"/>
      <c r="F185" s="36"/>
      <c r="G185" s="24" t="str">
        <f>IF(F185="","",IF(F185="Retard cotisation",'⚙️ PARAMÈTRES'!B8,IF(F185="Absence réunion",'⚙️ PARAMÈTRES'!B9,0)))</f>
        <v/>
      </c>
      <c r="H185" s="36"/>
      <c r="I185" s="23">
        <f t="shared" si="2"/>
        <v>0</v>
      </c>
    </row>
    <row r="186" spans="1:9" ht="19.5" customHeight="1" x14ac:dyDescent="0.3">
      <c r="A186" s="39" t="s">
        <v>601</v>
      </c>
      <c r="B186" s="32"/>
      <c r="C186" s="18" t="str">
        <f>IF(B186="","",IFERROR(VLOOKUP(B186,'👥 MEMBRES'!A:B,2,0),"?"))</f>
        <v/>
      </c>
      <c r="D186" s="18" t="str">
        <f>IF(B186="","",IFERROR(VLOOKUP(B186,'👥 MEMBRES'!A:C,3,0),"?"))</f>
        <v/>
      </c>
      <c r="E186" s="32"/>
      <c r="F186" s="32"/>
      <c r="G186" s="24" t="str">
        <f>IF(F186="","",IF(F186="Retard cotisation",'⚙️ PARAMÈTRES'!B8,IF(F186="Absence réunion",'⚙️ PARAMÈTRES'!B9,0)))</f>
        <v/>
      </c>
      <c r="H186" s="32"/>
      <c r="I186" s="23">
        <f t="shared" si="2"/>
        <v>0</v>
      </c>
    </row>
    <row r="187" spans="1:9" ht="19.5" customHeight="1" x14ac:dyDescent="0.3">
      <c r="A187" s="39" t="s">
        <v>602</v>
      </c>
      <c r="B187" s="36"/>
      <c r="C187" s="26" t="str">
        <f>IF(B187="","",IFERROR(VLOOKUP(B187,'👥 MEMBRES'!A:B,2,0),"?"))</f>
        <v/>
      </c>
      <c r="D187" s="26" t="str">
        <f>IF(B187="","",IFERROR(VLOOKUP(B187,'👥 MEMBRES'!A:C,3,0),"?"))</f>
        <v/>
      </c>
      <c r="E187" s="36"/>
      <c r="F187" s="36"/>
      <c r="G187" s="24" t="str">
        <f>IF(F187="","",IF(F187="Retard cotisation",'⚙️ PARAMÈTRES'!B8,IF(F187="Absence réunion",'⚙️ PARAMÈTRES'!B9,0)))</f>
        <v/>
      </c>
      <c r="H187" s="36"/>
      <c r="I187" s="23">
        <f t="shared" si="2"/>
        <v>0</v>
      </c>
    </row>
    <row r="188" spans="1:9" ht="19.5" customHeight="1" x14ac:dyDescent="0.3">
      <c r="A188" s="39" t="s">
        <v>603</v>
      </c>
      <c r="B188" s="32"/>
      <c r="C188" s="18" t="str">
        <f>IF(B188="","",IFERROR(VLOOKUP(B188,'👥 MEMBRES'!A:B,2,0),"?"))</f>
        <v/>
      </c>
      <c r="D188" s="18" t="str">
        <f>IF(B188="","",IFERROR(VLOOKUP(B188,'👥 MEMBRES'!A:C,3,0),"?"))</f>
        <v/>
      </c>
      <c r="E188" s="32"/>
      <c r="F188" s="32"/>
      <c r="G188" s="24" t="str">
        <f>IF(F188="","",IF(F188="Retard cotisation",'⚙️ PARAMÈTRES'!B8,IF(F188="Absence réunion",'⚙️ PARAMÈTRES'!B9,0)))</f>
        <v/>
      </c>
      <c r="H188" s="32"/>
      <c r="I188" s="23">
        <f t="shared" si="2"/>
        <v>0</v>
      </c>
    </row>
    <row r="189" spans="1:9" ht="19.5" customHeight="1" x14ac:dyDescent="0.3">
      <c r="A189" s="39" t="s">
        <v>604</v>
      </c>
      <c r="B189" s="36"/>
      <c r="C189" s="26" t="str">
        <f>IF(B189="","",IFERROR(VLOOKUP(B189,'👥 MEMBRES'!A:B,2,0),"?"))</f>
        <v/>
      </c>
      <c r="D189" s="26" t="str">
        <f>IF(B189="","",IFERROR(VLOOKUP(B189,'👥 MEMBRES'!A:C,3,0),"?"))</f>
        <v/>
      </c>
      <c r="E189" s="36"/>
      <c r="F189" s="36"/>
      <c r="G189" s="24" t="str">
        <f>IF(F189="","",IF(F189="Retard cotisation",'⚙️ PARAMÈTRES'!B8,IF(F189="Absence réunion",'⚙️ PARAMÈTRES'!B9,0)))</f>
        <v/>
      </c>
      <c r="H189" s="36"/>
      <c r="I189" s="23">
        <f t="shared" si="2"/>
        <v>0</v>
      </c>
    </row>
    <row r="190" spans="1:9" ht="19.5" customHeight="1" x14ac:dyDescent="0.3">
      <c r="A190" s="39" t="s">
        <v>605</v>
      </c>
      <c r="B190" s="32"/>
      <c r="C190" s="18" t="str">
        <f>IF(B190="","",IFERROR(VLOOKUP(B190,'👥 MEMBRES'!A:B,2,0),"?"))</f>
        <v/>
      </c>
      <c r="D190" s="18" t="str">
        <f>IF(B190="","",IFERROR(VLOOKUP(B190,'👥 MEMBRES'!A:C,3,0),"?"))</f>
        <v/>
      </c>
      <c r="E190" s="32"/>
      <c r="F190" s="32"/>
      <c r="G190" s="24" t="str">
        <f>IF(F190="","",IF(F190="Retard cotisation",'⚙️ PARAMÈTRES'!B8,IF(F190="Absence réunion",'⚙️ PARAMÈTRES'!B9,0)))</f>
        <v/>
      </c>
      <c r="H190" s="32"/>
      <c r="I190" s="23">
        <f t="shared" si="2"/>
        <v>0</v>
      </c>
    </row>
    <row r="191" spans="1:9" ht="19.5" customHeight="1" x14ac:dyDescent="0.3">
      <c r="A191" s="39" t="s">
        <v>606</v>
      </c>
      <c r="B191" s="36"/>
      <c r="C191" s="26" t="str">
        <f>IF(B191="","",IFERROR(VLOOKUP(B191,'👥 MEMBRES'!A:B,2,0),"?"))</f>
        <v/>
      </c>
      <c r="D191" s="26" t="str">
        <f>IF(B191="","",IFERROR(VLOOKUP(B191,'👥 MEMBRES'!A:C,3,0),"?"))</f>
        <v/>
      </c>
      <c r="E191" s="36"/>
      <c r="F191" s="36"/>
      <c r="G191" s="24" t="str">
        <f>IF(F191="","",IF(F191="Retard cotisation",'⚙️ PARAMÈTRES'!B8,IF(F191="Absence réunion",'⚙️ PARAMÈTRES'!B9,0)))</f>
        <v/>
      </c>
      <c r="H191" s="36"/>
      <c r="I191" s="23">
        <f t="shared" si="2"/>
        <v>0</v>
      </c>
    </row>
    <row r="192" spans="1:9" ht="19.5" customHeight="1" x14ac:dyDescent="0.3">
      <c r="A192" s="39" t="s">
        <v>607</v>
      </c>
      <c r="B192" s="32"/>
      <c r="C192" s="18" t="str">
        <f>IF(B192="","",IFERROR(VLOOKUP(B192,'👥 MEMBRES'!A:B,2,0),"?"))</f>
        <v/>
      </c>
      <c r="D192" s="18" t="str">
        <f>IF(B192="","",IFERROR(VLOOKUP(B192,'👥 MEMBRES'!A:C,3,0),"?"))</f>
        <v/>
      </c>
      <c r="E192" s="32"/>
      <c r="F192" s="32"/>
      <c r="G192" s="24" t="str">
        <f>IF(F192="","",IF(F192="Retard cotisation",'⚙️ PARAMÈTRES'!B8,IF(F192="Absence réunion",'⚙️ PARAMÈTRES'!B9,0)))</f>
        <v/>
      </c>
      <c r="H192" s="32"/>
      <c r="I192" s="23">
        <f t="shared" si="2"/>
        <v>0</v>
      </c>
    </row>
    <row r="193" spans="1:9" ht="19.5" customHeight="1" x14ac:dyDescent="0.3">
      <c r="A193" s="39" t="s">
        <v>608</v>
      </c>
      <c r="B193" s="36"/>
      <c r="C193" s="26" t="str">
        <f>IF(B193="","",IFERROR(VLOOKUP(B193,'👥 MEMBRES'!A:B,2,0),"?"))</f>
        <v/>
      </c>
      <c r="D193" s="26" t="str">
        <f>IF(B193="","",IFERROR(VLOOKUP(B193,'👥 MEMBRES'!A:C,3,0),"?"))</f>
        <v/>
      </c>
      <c r="E193" s="36"/>
      <c r="F193" s="36"/>
      <c r="G193" s="24" t="str">
        <f>IF(F193="","",IF(F193="Retard cotisation",'⚙️ PARAMÈTRES'!B8,IF(F193="Absence réunion",'⚙️ PARAMÈTRES'!B9,0)))</f>
        <v/>
      </c>
      <c r="H193" s="36"/>
      <c r="I193" s="23">
        <f t="shared" si="2"/>
        <v>0</v>
      </c>
    </row>
    <row r="194" spans="1:9" ht="19.5" customHeight="1" x14ac:dyDescent="0.3">
      <c r="A194" s="39" t="s">
        <v>609</v>
      </c>
      <c r="B194" s="32"/>
      <c r="C194" s="18" t="str">
        <f>IF(B194="","",IFERROR(VLOOKUP(B194,'👥 MEMBRES'!A:B,2,0),"?"))</f>
        <v/>
      </c>
      <c r="D194" s="18" t="str">
        <f>IF(B194="","",IFERROR(VLOOKUP(B194,'👥 MEMBRES'!A:C,3,0),"?"))</f>
        <v/>
      </c>
      <c r="E194" s="32"/>
      <c r="F194" s="32"/>
      <c r="G194" s="24" t="str">
        <f>IF(F194="","",IF(F194="Retard cotisation",'⚙️ PARAMÈTRES'!B8,IF(F194="Absence réunion",'⚙️ PARAMÈTRES'!B9,0)))</f>
        <v/>
      </c>
      <c r="H194" s="32"/>
      <c r="I194" s="23">
        <f t="shared" si="2"/>
        <v>0</v>
      </c>
    </row>
    <row r="195" spans="1:9" ht="19.5" customHeight="1" x14ac:dyDescent="0.3">
      <c r="A195" s="39" t="s">
        <v>610</v>
      </c>
      <c r="B195" s="36"/>
      <c r="C195" s="26" t="str">
        <f>IF(B195="","",IFERROR(VLOOKUP(B195,'👥 MEMBRES'!A:B,2,0),"?"))</f>
        <v/>
      </c>
      <c r="D195" s="26" t="str">
        <f>IF(B195="","",IFERROR(VLOOKUP(B195,'👥 MEMBRES'!A:C,3,0),"?"))</f>
        <v/>
      </c>
      <c r="E195" s="36"/>
      <c r="F195" s="36"/>
      <c r="G195" s="24" t="str">
        <f>IF(F195="","",IF(F195="Retard cotisation",'⚙️ PARAMÈTRES'!B8,IF(F195="Absence réunion",'⚙️ PARAMÈTRES'!B9,0)))</f>
        <v/>
      </c>
      <c r="H195" s="36"/>
      <c r="I195" s="23">
        <f t="shared" si="2"/>
        <v>0</v>
      </c>
    </row>
    <row r="196" spans="1:9" ht="19.5" customHeight="1" x14ac:dyDescent="0.3">
      <c r="A196" s="39" t="s">
        <v>611</v>
      </c>
      <c r="B196" s="32"/>
      <c r="C196" s="18" t="str">
        <f>IF(B196="","",IFERROR(VLOOKUP(B196,'👥 MEMBRES'!A:B,2,0),"?"))</f>
        <v/>
      </c>
      <c r="D196" s="18" t="str">
        <f>IF(B196="","",IFERROR(VLOOKUP(B196,'👥 MEMBRES'!A:C,3,0),"?"))</f>
        <v/>
      </c>
      <c r="E196" s="32"/>
      <c r="F196" s="32"/>
      <c r="G196" s="24" t="str">
        <f>IF(F196="","",IF(F196="Retard cotisation",'⚙️ PARAMÈTRES'!B8,IF(F196="Absence réunion",'⚙️ PARAMÈTRES'!B9,0)))</f>
        <v/>
      </c>
      <c r="H196" s="32"/>
      <c r="I196" s="23">
        <f t="shared" ref="I196:I259" si="3">IF(G196="",0,IF(H196="Oui",0,G196))</f>
        <v>0</v>
      </c>
    </row>
    <row r="197" spans="1:9" ht="19.5" customHeight="1" x14ac:dyDescent="0.3">
      <c r="A197" s="39" t="s">
        <v>612</v>
      </c>
      <c r="B197" s="36"/>
      <c r="C197" s="26" t="str">
        <f>IF(B197="","",IFERROR(VLOOKUP(B197,'👥 MEMBRES'!A:B,2,0),"?"))</f>
        <v/>
      </c>
      <c r="D197" s="26" t="str">
        <f>IF(B197="","",IFERROR(VLOOKUP(B197,'👥 MEMBRES'!A:C,3,0),"?"))</f>
        <v/>
      </c>
      <c r="E197" s="36"/>
      <c r="F197" s="36"/>
      <c r="G197" s="24" t="str">
        <f>IF(F197="","",IF(F197="Retard cotisation",'⚙️ PARAMÈTRES'!B8,IF(F197="Absence réunion",'⚙️ PARAMÈTRES'!B9,0)))</f>
        <v/>
      </c>
      <c r="H197" s="36"/>
      <c r="I197" s="23">
        <f t="shared" si="3"/>
        <v>0</v>
      </c>
    </row>
    <row r="198" spans="1:9" ht="19.5" customHeight="1" x14ac:dyDescent="0.3">
      <c r="A198" s="39" t="s">
        <v>613</v>
      </c>
      <c r="B198" s="32"/>
      <c r="C198" s="18" t="str">
        <f>IF(B198="","",IFERROR(VLOOKUP(B198,'👥 MEMBRES'!A:B,2,0),"?"))</f>
        <v/>
      </c>
      <c r="D198" s="18" t="str">
        <f>IF(B198="","",IFERROR(VLOOKUP(B198,'👥 MEMBRES'!A:C,3,0),"?"))</f>
        <v/>
      </c>
      <c r="E198" s="32"/>
      <c r="F198" s="32"/>
      <c r="G198" s="24" t="str">
        <f>IF(F198="","",IF(F198="Retard cotisation",'⚙️ PARAMÈTRES'!B8,IF(F198="Absence réunion",'⚙️ PARAMÈTRES'!B9,0)))</f>
        <v/>
      </c>
      <c r="H198" s="32"/>
      <c r="I198" s="23">
        <f t="shared" si="3"/>
        <v>0</v>
      </c>
    </row>
    <row r="199" spans="1:9" ht="19.5" customHeight="1" x14ac:dyDescent="0.3">
      <c r="A199" s="39" t="s">
        <v>614</v>
      </c>
      <c r="B199" s="36"/>
      <c r="C199" s="26" t="str">
        <f>IF(B199="","",IFERROR(VLOOKUP(B199,'👥 MEMBRES'!A:B,2,0),"?"))</f>
        <v/>
      </c>
      <c r="D199" s="26" t="str">
        <f>IF(B199="","",IFERROR(VLOOKUP(B199,'👥 MEMBRES'!A:C,3,0),"?"))</f>
        <v/>
      </c>
      <c r="E199" s="36"/>
      <c r="F199" s="36"/>
      <c r="G199" s="24" t="str">
        <f>IF(F199="","",IF(F199="Retard cotisation",'⚙️ PARAMÈTRES'!B8,IF(F199="Absence réunion",'⚙️ PARAMÈTRES'!B9,0)))</f>
        <v/>
      </c>
      <c r="H199" s="36"/>
      <c r="I199" s="23">
        <f t="shared" si="3"/>
        <v>0</v>
      </c>
    </row>
    <row r="200" spans="1:9" ht="19.5" customHeight="1" x14ac:dyDescent="0.3">
      <c r="A200" s="39" t="s">
        <v>615</v>
      </c>
      <c r="B200" s="32"/>
      <c r="C200" s="18" t="str">
        <f>IF(B200="","",IFERROR(VLOOKUP(B200,'👥 MEMBRES'!A:B,2,0),"?"))</f>
        <v/>
      </c>
      <c r="D200" s="18" t="str">
        <f>IF(B200="","",IFERROR(VLOOKUP(B200,'👥 MEMBRES'!A:C,3,0),"?"))</f>
        <v/>
      </c>
      <c r="E200" s="32"/>
      <c r="F200" s="32"/>
      <c r="G200" s="24" t="str">
        <f>IF(F200="","",IF(F200="Retard cotisation",'⚙️ PARAMÈTRES'!B8,IF(F200="Absence réunion",'⚙️ PARAMÈTRES'!B9,0)))</f>
        <v/>
      </c>
      <c r="H200" s="32"/>
      <c r="I200" s="23">
        <f t="shared" si="3"/>
        <v>0</v>
      </c>
    </row>
    <row r="201" spans="1:9" ht="19.5" customHeight="1" x14ac:dyDescent="0.3">
      <c r="A201" s="39" t="s">
        <v>616</v>
      </c>
      <c r="B201" s="36"/>
      <c r="C201" s="26" t="str">
        <f>IF(B201="","",IFERROR(VLOOKUP(B201,'👥 MEMBRES'!A:B,2,0),"?"))</f>
        <v/>
      </c>
      <c r="D201" s="26" t="str">
        <f>IF(B201="","",IFERROR(VLOOKUP(B201,'👥 MEMBRES'!A:C,3,0),"?"))</f>
        <v/>
      </c>
      <c r="E201" s="36"/>
      <c r="F201" s="36"/>
      <c r="G201" s="24" t="str">
        <f>IF(F201="","",IF(F201="Retard cotisation",'⚙️ PARAMÈTRES'!B8,IF(F201="Absence réunion",'⚙️ PARAMÈTRES'!B9,0)))</f>
        <v/>
      </c>
      <c r="H201" s="36"/>
      <c r="I201" s="23">
        <f t="shared" si="3"/>
        <v>0</v>
      </c>
    </row>
    <row r="202" spans="1:9" ht="19.5" customHeight="1" x14ac:dyDescent="0.3">
      <c r="A202" s="39" t="s">
        <v>617</v>
      </c>
      <c r="B202" s="32"/>
      <c r="C202" s="18" t="str">
        <f>IF(B202="","",IFERROR(VLOOKUP(B202,'👥 MEMBRES'!A:B,2,0),"?"))</f>
        <v/>
      </c>
      <c r="D202" s="18" t="str">
        <f>IF(B202="","",IFERROR(VLOOKUP(B202,'👥 MEMBRES'!A:C,3,0),"?"))</f>
        <v/>
      </c>
      <c r="E202" s="32"/>
      <c r="F202" s="32"/>
      <c r="G202" s="24" t="str">
        <f>IF(F202="","",IF(F202="Retard cotisation",'⚙️ PARAMÈTRES'!B8,IF(F202="Absence réunion",'⚙️ PARAMÈTRES'!B9,0)))</f>
        <v/>
      </c>
      <c r="H202" s="32"/>
      <c r="I202" s="23">
        <f t="shared" si="3"/>
        <v>0</v>
      </c>
    </row>
    <row r="203" spans="1:9" ht="19.5" customHeight="1" x14ac:dyDescent="0.3">
      <c r="A203" s="39" t="s">
        <v>618</v>
      </c>
      <c r="B203" s="36"/>
      <c r="C203" s="26" t="str">
        <f>IF(B203="","",IFERROR(VLOOKUP(B203,'👥 MEMBRES'!A:B,2,0),"?"))</f>
        <v/>
      </c>
      <c r="D203" s="26" t="str">
        <f>IF(B203="","",IFERROR(VLOOKUP(B203,'👥 MEMBRES'!A:C,3,0),"?"))</f>
        <v/>
      </c>
      <c r="E203" s="36"/>
      <c r="F203" s="36"/>
      <c r="G203" s="24" t="str">
        <f>IF(F203="","",IF(F203="Retard cotisation",'⚙️ PARAMÈTRES'!B8,IF(F203="Absence réunion",'⚙️ PARAMÈTRES'!B9,0)))</f>
        <v/>
      </c>
      <c r="H203" s="36"/>
      <c r="I203" s="23">
        <f t="shared" si="3"/>
        <v>0</v>
      </c>
    </row>
    <row r="204" spans="1:9" ht="19.5" customHeight="1" x14ac:dyDescent="0.3">
      <c r="A204" s="39" t="s">
        <v>619</v>
      </c>
      <c r="B204" s="32"/>
      <c r="C204" s="18" t="str">
        <f>IF(B204="","",IFERROR(VLOOKUP(B204,'👥 MEMBRES'!A:B,2,0),"?"))</f>
        <v/>
      </c>
      <c r="D204" s="18" t="str">
        <f>IF(B204="","",IFERROR(VLOOKUP(B204,'👥 MEMBRES'!A:C,3,0),"?"))</f>
        <v/>
      </c>
      <c r="E204" s="32"/>
      <c r="F204" s="32"/>
      <c r="G204" s="24" t="str">
        <f>IF(F204="","",IF(F204="Retard cotisation",'⚙️ PARAMÈTRES'!B8,IF(F204="Absence réunion",'⚙️ PARAMÈTRES'!B9,0)))</f>
        <v/>
      </c>
      <c r="H204" s="32"/>
      <c r="I204" s="23">
        <f t="shared" si="3"/>
        <v>0</v>
      </c>
    </row>
    <row r="205" spans="1:9" ht="19.5" customHeight="1" x14ac:dyDescent="0.3">
      <c r="A205" s="39" t="s">
        <v>620</v>
      </c>
      <c r="B205" s="36"/>
      <c r="C205" s="26" t="str">
        <f>IF(B205="","",IFERROR(VLOOKUP(B205,'👥 MEMBRES'!A:B,2,0),"?"))</f>
        <v/>
      </c>
      <c r="D205" s="26" t="str">
        <f>IF(B205="","",IFERROR(VLOOKUP(B205,'👥 MEMBRES'!A:C,3,0),"?"))</f>
        <v/>
      </c>
      <c r="E205" s="36"/>
      <c r="F205" s="36"/>
      <c r="G205" s="24" t="str">
        <f>IF(F205="","",IF(F205="Retard cotisation",'⚙️ PARAMÈTRES'!B8,IF(F205="Absence réunion",'⚙️ PARAMÈTRES'!B9,0)))</f>
        <v/>
      </c>
      <c r="H205" s="36"/>
      <c r="I205" s="23">
        <f t="shared" si="3"/>
        <v>0</v>
      </c>
    </row>
    <row r="206" spans="1:9" ht="19.5" customHeight="1" x14ac:dyDescent="0.3">
      <c r="A206" s="39" t="s">
        <v>621</v>
      </c>
      <c r="B206" s="32"/>
      <c r="C206" s="18" t="str">
        <f>IF(B206="","",IFERROR(VLOOKUP(B206,'👥 MEMBRES'!A:B,2,0),"?"))</f>
        <v/>
      </c>
      <c r="D206" s="18" t="str">
        <f>IF(B206="","",IFERROR(VLOOKUP(B206,'👥 MEMBRES'!A:C,3,0),"?"))</f>
        <v/>
      </c>
      <c r="E206" s="32"/>
      <c r="F206" s="32"/>
      <c r="G206" s="24" t="str">
        <f>IF(F206="","",IF(F206="Retard cotisation",'⚙️ PARAMÈTRES'!B8,IF(F206="Absence réunion",'⚙️ PARAMÈTRES'!B9,0)))</f>
        <v/>
      </c>
      <c r="H206" s="32"/>
      <c r="I206" s="23">
        <f t="shared" si="3"/>
        <v>0</v>
      </c>
    </row>
    <row r="207" spans="1:9" ht="19.5" customHeight="1" x14ac:dyDescent="0.3">
      <c r="A207" s="39" t="s">
        <v>622</v>
      </c>
      <c r="B207" s="36"/>
      <c r="C207" s="26" t="str">
        <f>IF(B207="","",IFERROR(VLOOKUP(B207,'👥 MEMBRES'!A:B,2,0),"?"))</f>
        <v/>
      </c>
      <c r="D207" s="26" t="str">
        <f>IF(B207="","",IFERROR(VLOOKUP(B207,'👥 MEMBRES'!A:C,3,0),"?"))</f>
        <v/>
      </c>
      <c r="E207" s="36"/>
      <c r="F207" s="36"/>
      <c r="G207" s="24" t="str">
        <f>IF(F207="","",IF(F207="Retard cotisation",'⚙️ PARAMÈTRES'!B8,IF(F207="Absence réunion",'⚙️ PARAMÈTRES'!B9,0)))</f>
        <v/>
      </c>
      <c r="H207" s="36"/>
      <c r="I207" s="23">
        <f t="shared" si="3"/>
        <v>0</v>
      </c>
    </row>
    <row r="208" spans="1:9" ht="19.5" customHeight="1" x14ac:dyDescent="0.3">
      <c r="A208" s="39" t="s">
        <v>623</v>
      </c>
      <c r="B208" s="32"/>
      <c r="C208" s="18" t="str">
        <f>IF(B208="","",IFERROR(VLOOKUP(B208,'👥 MEMBRES'!A:B,2,0),"?"))</f>
        <v/>
      </c>
      <c r="D208" s="18" t="str">
        <f>IF(B208="","",IFERROR(VLOOKUP(B208,'👥 MEMBRES'!A:C,3,0),"?"))</f>
        <v/>
      </c>
      <c r="E208" s="32"/>
      <c r="F208" s="32"/>
      <c r="G208" s="24" t="str">
        <f>IF(F208="","",IF(F208="Retard cotisation",'⚙️ PARAMÈTRES'!B8,IF(F208="Absence réunion",'⚙️ PARAMÈTRES'!B9,0)))</f>
        <v/>
      </c>
      <c r="H208" s="32"/>
      <c r="I208" s="23">
        <f t="shared" si="3"/>
        <v>0</v>
      </c>
    </row>
    <row r="209" spans="1:9" ht="19.5" customHeight="1" x14ac:dyDescent="0.3">
      <c r="A209" s="39" t="s">
        <v>624</v>
      </c>
      <c r="B209" s="36"/>
      <c r="C209" s="26" t="str">
        <f>IF(B209="","",IFERROR(VLOOKUP(B209,'👥 MEMBRES'!A:B,2,0),"?"))</f>
        <v/>
      </c>
      <c r="D209" s="26" t="str">
        <f>IF(B209="","",IFERROR(VLOOKUP(B209,'👥 MEMBRES'!A:C,3,0),"?"))</f>
        <v/>
      </c>
      <c r="E209" s="36"/>
      <c r="F209" s="36"/>
      <c r="G209" s="24" t="str">
        <f>IF(F209="","",IF(F209="Retard cotisation",'⚙️ PARAMÈTRES'!B8,IF(F209="Absence réunion",'⚙️ PARAMÈTRES'!B9,0)))</f>
        <v/>
      </c>
      <c r="H209" s="36"/>
      <c r="I209" s="23">
        <f t="shared" si="3"/>
        <v>0</v>
      </c>
    </row>
    <row r="210" spans="1:9" ht="19.5" customHeight="1" x14ac:dyDescent="0.3">
      <c r="A210" s="39" t="s">
        <v>625</v>
      </c>
      <c r="B210" s="32"/>
      <c r="C210" s="18" t="str">
        <f>IF(B210="","",IFERROR(VLOOKUP(B210,'👥 MEMBRES'!A:B,2,0),"?"))</f>
        <v/>
      </c>
      <c r="D210" s="18" t="str">
        <f>IF(B210="","",IFERROR(VLOOKUP(B210,'👥 MEMBRES'!A:C,3,0),"?"))</f>
        <v/>
      </c>
      <c r="E210" s="32"/>
      <c r="F210" s="32"/>
      <c r="G210" s="24" t="str">
        <f>IF(F210="","",IF(F210="Retard cotisation",'⚙️ PARAMÈTRES'!B8,IF(F210="Absence réunion",'⚙️ PARAMÈTRES'!B9,0)))</f>
        <v/>
      </c>
      <c r="H210" s="32"/>
      <c r="I210" s="23">
        <f t="shared" si="3"/>
        <v>0</v>
      </c>
    </row>
    <row r="211" spans="1:9" ht="19.5" customHeight="1" x14ac:dyDescent="0.3">
      <c r="A211" s="39" t="s">
        <v>626</v>
      </c>
      <c r="B211" s="36"/>
      <c r="C211" s="26" t="str">
        <f>IF(B211="","",IFERROR(VLOOKUP(B211,'👥 MEMBRES'!A:B,2,0),"?"))</f>
        <v/>
      </c>
      <c r="D211" s="26" t="str">
        <f>IF(B211="","",IFERROR(VLOOKUP(B211,'👥 MEMBRES'!A:C,3,0),"?"))</f>
        <v/>
      </c>
      <c r="E211" s="36"/>
      <c r="F211" s="36"/>
      <c r="G211" s="24" t="str">
        <f>IF(F211="","",IF(F211="Retard cotisation",'⚙️ PARAMÈTRES'!B8,IF(F211="Absence réunion",'⚙️ PARAMÈTRES'!B9,0)))</f>
        <v/>
      </c>
      <c r="H211" s="36"/>
      <c r="I211" s="23">
        <f t="shared" si="3"/>
        <v>0</v>
      </c>
    </row>
    <row r="212" spans="1:9" ht="19.5" customHeight="1" x14ac:dyDescent="0.3">
      <c r="A212" s="39" t="s">
        <v>627</v>
      </c>
      <c r="B212" s="32"/>
      <c r="C212" s="18" t="str">
        <f>IF(B212="","",IFERROR(VLOOKUP(B212,'👥 MEMBRES'!A:B,2,0),"?"))</f>
        <v/>
      </c>
      <c r="D212" s="18" t="str">
        <f>IF(B212="","",IFERROR(VLOOKUP(B212,'👥 MEMBRES'!A:C,3,0),"?"))</f>
        <v/>
      </c>
      <c r="E212" s="32"/>
      <c r="F212" s="32"/>
      <c r="G212" s="24" t="str">
        <f>IF(F212="","",IF(F212="Retard cotisation",'⚙️ PARAMÈTRES'!B8,IF(F212="Absence réunion",'⚙️ PARAMÈTRES'!B9,0)))</f>
        <v/>
      </c>
      <c r="H212" s="32"/>
      <c r="I212" s="23">
        <f t="shared" si="3"/>
        <v>0</v>
      </c>
    </row>
    <row r="213" spans="1:9" ht="19.5" customHeight="1" x14ac:dyDescent="0.3">
      <c r="A213" s="39" t="s">
        <v>628</v>
      </c>
      <c r="B213" s="36"/>
      <c r="C213" s="26" t="str">
        <f>IF(B213="","",IFERROR(VLOOKUP(B213,'👥 MEMBRES'!A:B,2,0),"?"))</f>
        <v/>
      </c>
      <c r="D213" s="26" t="str">
        <f>IF(B213="","",IFERROR(VLOOKUP(B213,'👥 MEMBRES'!A:C,3,0),"?"))</f>
        <v/>
      </c>
      <c r="E213" s="36"/>
      <c r="F213" s="36"/>
      <c r="G213" s="24" t="str">
        <f>IF(F213="","",IF(F213="Retard cotisation",'⚙️ PARAMÈTRES'!B8,IF(F213="Absence réunion",'⚙️ PARAMÈTRES'!B9,0)))</f>
        <v/>
      </c>
      <c r="H213" s="36"/>
      <c r="I213" s="23">
        <f t="shared" si="3"/>
        <v>0</v>
      </c>
    </row>
    <row r="214" spans="1:9" ht="19.5" customHeight="1" x14ac:dyDescent="0.3">
      <c r="A214" s="39" t="s">
        <v>629</v>
      </c>
      <c r="B214" s="32"/>
      <c r="C214" s="18" t="str">
        <f>IF(B214="","",IFERROR(VLOOKUP(B214,'👥 MEMBRES'!A:B,2,0),"?"))</f>
        <v/>
      </c>
      <c r="D214" s="18" t="str">
        <f>IF(B214="","",IFERROR(VLOOKUP(B214,'👥 MEMBRES'!A:C,3,0),"?"))</f>
        <v/>
      </c>
      <c r="E214" s="32"/>
      <c r="F214" s="32"/>
      <c r="G214" s="24" t="str">
        <f>IF(F214="","",IF(F214="Retard cotisation",'⚙️ PARAMÈTRES'!B8,IF(F214="Absence réunion",'⚙️ PARAMÈTRES'!B9,0)))</f>
        <v/>
      </c>
      <c r="H214" s="32"/>
      <c r="I214" s="23">
        <f t="shared" si="3"/>
        <v>0</v>
      </c>
    </row>
    <row r="215" spans="1:9" ht="19.5" customHeight="1" x14ac:dyDescent="0.3">
      <c r="A215" s="39" t="s">
        <v>630</v>
      </c>
      <c r="B215" s="36"/>
      <c r="C215" s="26" t="str">
        <f>IF(B215="","",IFERROR(VLOOKUP(B215,'👥 MEMBRES'!A:B,2,0),"?"))</f>
        <v/>
      </c>
      <c r="D215" s="26" t="str">
        <f>IF(B215="","",IFERROR(VLOOKUP(B215,'👥 MEMBRES'!A:C,3,0),"?"))</f>
        <v/>
      </c>
      <c r="E215" s="36"/>
      <c r="F215" s="36"/>
      <c r="G215" s="24" t="str">
        <f>IF(F215="","",IF(F215="Retard cotisation",'⚙️ PARAMÈTRES'!B8,IF(F215="Absence réunion",'⚙️ PARAMÈTRES'!B9,0)))</f>
        <v/>
      </c>
      <c r="H215" s="36"/>
      <c r="I215" s="23">
        <f t="shared" si="3"/>
        <v>0</v>
      </c>
    </row>
    <row r="216" spans="1:9" ht="19.5" customHeight="1" x14ac:dyDescent="0.3">
      <c r="A216" s="39" t="s">
        <v>631</v>
      </c>
      <c r="B216" s="32"/>
      <c r="C216" s="18" t="str">
        <f>IF(B216="","",IFERROR(VLOOKUP(B216,'👥 MEMBRES'!A:B,2,0),"?"))</f>
        <v/>
      </c>
      <c r="D216" s="18" t="str">
        <f>IF(B216="","",IFERROR(VLOOKUP(B216,'👥 MEMBRES'!A:C,3,0),"?"))</f>
        <v/>
      </c>
      <c r="E216" s="32"/>
      <c r="F216" s="32"/>
      <c r="G216" s="24" t="str">
        <f>IF(F216="","",IF(F216="Retard cotisation",'⚙️ PARAMÈTRES'!B8,IF(F216="Absence réunion",'⚙️ PARAMÈTRES'!B9,0)))</f>
        <v/>
      </c>
      <c r="H216" s="32"/>
      <c r="I216" s="23">
        <f t="shared" si="3"/>
        <v>0</v>
      </c>
    </row>
    <row r="217" spans="1:9" ht="19.5" customHeight="1" x14ac:dyDescent="0.3">
      <c r="A217" s="39" t="s">
        <v>632</v>
      </c>
      <c r="B217" s="36"/>
      <c r="C217" s="26" t="str">
        <f>IF(B217="","",IFERROR(VLOOKUP(B217,'👥 MEMBRES'!A:B,2,0),"?"))</f>
        <v/>
      </c>
      <c r="D217" s="26" t="str">
        <f>IF(B217="","",IFERROR(VLOOKUP(B217,'👥 MEMBRES'!A:C,3,0),"?"))</f>
        <v/>
      </c>
      <c r="E217" s="36"/>
      <c r="F217" s="36"/>
      <c r="G217" s="24" t="str">
        <f>IF(F217="","",IF(F217="Retard cotisation",'⚙️ PARAMÈTRES'!B8,IF(F217="Absence réunion",'⚙️ PARAMÈTRES'!B9,0)))</f>
        <v/>
      </c>
      <c r="H217" s="36"/>
      <c r="I217" s="23">
        <f t="shared" si="3"/>
        <v>0</v>
      </c>
    </row>
    <row r="218" spans="1:9" ht="19.5" customHeight="1" x14ac:dyDescent="0.3">
      <c r="A218" s="39" t="s">
        <v>633</v>
      </c>
      <c r="B218" s="32"/>
      <c r="C218" s="18" t="str">
        <f>IF(B218="","",IFERROR(VLOOKUP(B218,'👥 MEMBRES'!A:B,2,0),"?"))</f>
        <v/>
      </c>
      <c r="D218" s="18" t="str">
        <f>IF(B218="","",IFERROR(VLOOKUP(B218,'👥 MEMBRES'!A:C,3,0),"?"))</f>
        <v/>
      </c>
      <c r="E218" s="32"/>
      <c r="F218" s="32"/>
      <c r="G218" s="24" t="str">
        <f>IF(F218="","",IF(F218="Retard cotisation",'⚙️ PARAMÈTRES'!B8,IF(F218="Absence réunion",'⚙️ PARAMÈTRES'!B9,0)))</f>
        <v/>
      </c>
      <c r="H218" s="32"/>
      <c r="I218" s="23">
        <f t="shared" si="3"/>
        <v>0</v>
      </c>
    </row>
    <row r="219" spans="1:9" ht="19.5" customHeight="1" x14ac:dyDescent="0.3">
      <c r="A219" s="39" t="s">
        <v>634</v>
      </c>
      <c r="B219" s="36"/>
      <c r="C219" s="26" t="str">
        <f>IF(B219="","",IFERROR(VLOOKUP(B219,'👥 MEMBRES'!A:B,2,0),"?"))</f>
        <v/>
      </c>
      <c r="D219" s="26" t="str">
        <f>IF(B219="","",IFERROR(VLOOKUP(B219,'👥 MEMBRES'!A:C,3,0),"?"))</f>
        <v/>
      </c>
      <c r="E219" s="36"/>
      <c r="F219" s="36"/>
      <c r="G219" s="24" t="str">
        <f>IF(F219="","",IF(F219="Retard cotisation",'⚙️ PARAMÈTRES'!B8,IF(F219="Absence réunion",'⚙️ PARAMÈTRES'!B9,0)))</f>
        <v/>
      </c>
      <c r="H219" s="36"/>
      <c r="I219" s="23">
        <f t="shared" si="3"/>
        <v>0</v>
      </c>
    </row>
    <row r="220" spans="1:9" ht="19.5" customHeight="1" x14ac:dyDescent="0.3">
      <c r="A220" s="39" t="s">
        <v>635</v>
      </c>
      <c r="B220" s="32"/>
      <c r="C220" s="18" t="str">
        <f>IF(B220="","",IFERROR(VLOOKUP(B220,'👥 MEMBRES'!A:B,2,0),"?"))</f>
        <v/>
      </c>
      <c r="D220" s="18" t="str">
        <f>IF(B220="","",IFERROR(VLOOKUP(B220,'👥 MEMBRES'!A:C,3,0),"?"))</f>
        <v/>
      </c>
      <c r="E220" s="32"/>
      <c r="F220" s="32"/>
      <c r="G220" s="24" t="str">
        <f>IF(F220="","",IF(F220="Retard cotisation",'⚙️ PARAMÈTRES'!B8,IF(F220="Absence réunion",'⚙️ PARAMÈTRES'!B9,0)))</f>
        <v/>
      </c>
      <c r="H220" s="32"/>
      <c r="I220" s="23">
        <f t="shared" si="3"/>
        <v>0</v>
      </c>
    </row>
    <row r="221" spans="1:9" ht="19.5" customHeight="1" x14ac:dyDescent="0.3">
      <c r="A221" s="39" t="s">
        <v>636</v>
      </c>
      <c r="B221" s="36"/>
      <c r="C221" s="26" t="str">
        <f>IF(B221="","",IFERROR(VLOOKUP(B221,'👥 MEMBRES'!A:B,2,0),"?"))</f>
        <v/>
      </c>
      <c r="D221" s="26" t="str">
        <f>IF(B221="","",IFERROR(VLOOKUP(B221,'👥 MEMBRES'!A:C,3,0),"?"))</f>
        <v/>
      </c>
      <c r="E221" s="36"/>
      <c r="F221" s="36"/>
      <c r="G221" s="24" t="str">
        <f>IF(F221="","",IF(F221="Retard cotisation",'⚙️ PARAMÈTRES'!B8,IF(F221="Absence réunion",'⚙️ PARAMÈTRES'!B9,0)))</f>
        <v/>
      </c>
      <c r="H221" s="36"/>
      <c r="I221" s="23">
        <f t="shared" si="3"/>
        <v>0</v>
      </c>
    </row>
    <row r="222" spans="1:9" ht="19.5" customHeight="1" x14ac:dyDescent="0.3">
      <c r="A222" s="39" t="s">
        <v>637</v>
      </c>
      <c r="B222" s="32"/>
      <c r="C222" s="18" t="str">
        <f>IF(B222="","",IFERROR(VLOOKUP(B222,'👥 MEMBRES'!A:B,2,0),"?"))</f>
        <v/>
      </c>
      <c r="D222" s="18" t="str">
        <f>IF(B222="","",IFERROR(VLOOKUP(B222,'👥 MEMBRES'!A:C,3,0),"?"))</f>
        <v/>
      </c>
      <c r="E222" s="32"/>
      <c r="F222" s="32"/>
      <c r="G222" s="24" t="str">
        <f>IF(F222="","",IF(F222="Retard cotisation",'⚙️ PARAMÈTRES'!B8,IF(F222="Absence réunion",'⚙️ PARAMÈTRES'!B9,0)))</f>
        <v/>
      </c>
      <c r="H222" s="32"/>
      <c r="I222" s="23">
        <f t="shared" si="3"/>
        <v>0</v>
      </c>
    </row>
    <row r="223" spans="1:9" ht="19.5" customHeight="1" x14ac:dyDescent="0.3">
      <c r="A223" s="39" t="s">
        <v>638</v>
      </c>
      <c r="B223" s="36"/>
      <c r="C223" s="26" t="str">
        <f>IF(B223="","",IFERROR(VLOOKUP(B223,'👥 MEMBRES'!A:B,2,0),"?"))</f>
        <v/>
      </c>
      <c r="D223" s="26" t="str">
        <f>IF(B223="","",IFERROR(VLOOKUP(B223,'👥 MEMBRES'!A:C,3,0),"?"))</f>
        <v/>
      </c>
      <c r="E223" s="36"/>
      <c r="F223" s="36"/>
      <c r="G223" s="24" t="str">
        <f>IF(F223="","",IF(F223="Retard cotisation",'⚙️ PARAMÈTRES'!B8,IF(F223="Absence réunion",'⚙️ PARAMÈTRES'!B9,0)))</f>
        <v/>
      </c>
      <c r="H223" s="36"/>
      <c r="I223" s="23">
        <f t="shared" si="3"/>
        <v>0</v>
      </c>
    </row>
    <row r="224" spans="1:9" ht="19.5" customHeight="1" x14ac:dyDescent="0.3">
      <c r="A224" s="39" t="s">
        <v>639</v>
      </c>
      <c r="B224" s="32"/>
      <c r="C224" s="18" t="str">
        <f>IF(B224="","",IFERROR(VLOOKUP(B224,'👥 MEMBRES'!A:B,2,0),"?"))</f>
        <v/>
      </c>
      <c r="D224" s="18" t="str">
        <f>IF(B224="","",IFERROR(VLOOKUP(B224,'👥 MEMBRES'!A:C,3,0),"?"))</f>
        <v/>
      </c>
      <c r="E224" s="32"/>
      <c r="F224" s="32"/>
      <c r="G224" s="24" t="str">
        <f>IF(F224="","",IF(F224="Retard cotisation",'⚙️ PARAMÈTRES'!B8,IF(F224="Absence réunion",'⚙️ PARAMÈTRES'!B9,0)))</f>
        <v/>
      </c>
      <c r="H224" s="32"/>
      <c r="I224" s="23">
        <f t="shared" si="3"/>
        <v>0</v>
      </c>
    </row>
    <row r="225" spans="1:9" ht="19.5" customHeight="1" x14ac:dyDescent="0.3">
      <c r="A225" s="39" t="s">
        <v>640</v>
      </c>
      <c r="B225" s="36"/>
      <c r="C225" s="26" t="str">
        <f>IF(B225="","",IFERROR(VLOOKUP(B225,'👥 MEMBRES'!A:B,2,0),"?"))</f>
        <v/>
      </c>
      <c r="D225" s="26" t="str">
        <f>IF(B225="","",IFERROR(VLOOKUP(B225,'👥 MEMBRES'!A:C,3,0),"?"))</f>
        <v/>
      </c>
      <c r="E225" s="36"/>
      <c r="F225" s="36"/>
      <c r="G225" s="24" t="str">
        <f>IF(F225="","",IF(F225="Retard cotisation",'⚙️ PARAMÈTRES'!B8,IF(F225="Absence réunion",'⚙️ PARAMÈTRES'!B9,0)))</f>
        <v/>
      </c>
      <c r="H225" s="36"/>
      <c r="I225" s="23">
        <f t="shared" si="3"/>
        <v>0</v>
      </c>
    </row>
    <row r="226" spans="1:9" ht="19.5" customHeight="1" x14ac:dyDescent="0.3">
      <c r="A226" s="39" t="s">
        <v>641</v>
      </c>
      <c r="B226" s="32"/>
      <c r="C226" s="18" t="str">
        <f>IF(B226="","",IFERROR(VLOOKUP(B226,'👥 MEMBRES'!A:B,2,0),"?"))</f>
        <v/>
      </c>
      <c r="D226" s="18" t="str">
        <f>IF(B226="","",IFERROR(VLOOKUP(B226,'👥 MEMBRES'!A:C,3,0),"?"))</f>
        <v/>
      </c>
      <c r="E226" s="32"/>
      <c r="F226" s="32"/>
      <c r="G226" s="24" t="str">
        <f>IF(F226="","",IF(F226="Retard cotisation",'⚙️ PARAMÈTRES'!B8,IF(F226="Absence réunion",'⚙️ PARAMÈTRES'!B9,0)))</f>
        <v/>
      </c>
      <c r="H226" s="32"/>
      <c r="I226" s="23">
        <f t="shared" si="3"/>
        <v>0</v>
      </c>
    </row>
    <row r="227" spans="1:9" ht="19.5" customHeight="1" x14ac:dyDescent="0.3">
      <c r="A227" s="39" t="s">
        <v>642</v>
      </c>
      <c r="B227" s="36"/>
      <c r="C227" s="26" t="str">
        <f>IF(B227="","",IFERROR(VLOOKUP(B227,'👥 MEMBRES'!A:B,2,0),"?"))</f>
        <v/>
      </c>
      <c r="D227" s="26" t="str">
        <f>IF(B227="","",IFERROR(VLOOKUP(B227,'👥 MEMBRES'!A:C,3,0),"?"))</f>
        <v/>
      </c>
      <c r="E227" s="36"/>
      <c r="F227" s="36"/>
      <c r="G227" s="24" t="str">
        <f>IF(F227="","",IF(F227="Retard cotisation",'⚙️ PARAMÈTRES'!B8,IF(F227="Absence réunion",'⚙️ PARAMÈTRES'!B9,0)))</f>
        <v/>
      </c>
      <c r="H227" s="36"/>
      <c r="I227" s="23">
        <f t="shared" si="3"/>
        <v>0</v>
      </c>
    </row>
    <row r="228" spans="1:9" ht="19.5" customHeight="1" x14ac:dyDescent="0.3">
      <c r="A228" s="39" t="s">
        <v>643</v>
      </c>
      <c r="B228" s="32"/>
      <c r="C228" s="18" t="str">
        <f>IF(B228="","",IFERROR(VLOOKUP(B228,'👥 MEMBRES'!A:B,2,0),"?"))</f>
        <v/>
      </c>
      <c r="D228" s="18" t="str">
        <f>IF(B228="","",IFERROR(VLOOKUP(B228,'👥 MEMBRES'!A:C,3,0),"?"))</f>
        <v/>
      </c>
      <c r="E228" s="32"/>
      <c r="F228" s="32"/>
      <c r="G228" s="24" t="str">
        <f>IF(F228="","",IF(F228="Retard cotisation",'⚙️ PARAMÈTRES'!B8,IF(F228="Absence réunion",'⚙️ PARAMÈTRES'!B9,0)))</f>
        <v/>
      </c>
      <c r="H228" s="32"/>
      <c r="I228" s="23">
        <f t="shared" si="3"/>
        <v>0</v>
      </c>
    </row>
    <row r="229" spans="1:9" ht="19.5" customHeight="1" x14ac:dyDescent="0.3">
      <c r="A229" s="39" t="s">
        <v>644</v>
      </c>
      <c r="B229" s="36"/>
      <c r="C229" s="26" t="str">
        <f>IF(B229="","",IFERROR(VLOOKUP(B229,'👥 MEMBRES'!A:B,2,0),"?"))</f>
        <v/>
      </c>
      <c r="D229" s="26" t="str">
        <f>IF(B229="","",IFERROR(VLOOKUP(B229,'👥 MEMBRES'!A:C,3,0),"?"))</f>
        <v/>
      </c>
      <c r="E229" s="36"/>
      <c r="F229" s="36"/>
      <c r="G229" s="24" t="str">
        <f>IF(F229="","",IF(F229="Retard cotisation",'⚙️ PARAMÈTRES'!B8,IF(F229="Absence réunion",'⚙️ PARAMÈTRES'!B9,0)))</f>
        <v/>
      </c>
      <c r="H229" s="36"/>
      <c r="I229" s="23">
        <f t="shared" si="3"/>
        <v>0</v>
      </c>
    </row>
    <row r="230" spans="1:9" ht="19.5" customHeight="1" x14ac:dyDescent="0.3">
      <c r="A230" s="39" t="s">
        <v>645</v>
      </c>
      <c r="B230" s="32"/>
      <c r="C230" s="18" t="str">
        <f>IF(B230="","",IFERROR(VLOOKUP(B230,'👥 MEMBRES'!A:B,2,0),"?"))</f>
        <v/>
      </c>
      <c r="D230" s="18" t="str">
        <f>IF(B230="","",IFERROR(VLOOKUP(B230,'👥 MEMBRES'!A:C,3,0),"?"))</f>
        <v/>
      </c>
      <c r="E230" s="32"/>
      <c r="F230" s="32"/>
      <c r="G230" s="24" t="str">
        <f>IF(F230="","",IF(F230="Retard cotisation",'⚙️ PARAMÈTRES'!B8,IF(F230="Absence réunion",'⚙️ PARAMÈTRES'!B9,0)))</f>
        <v/>
      </c>
      <c r="H230" s="32"/>
      <c r="I230" s="23">
        <f t="shared" si="3"/>
        <v>0</v>
      </c>
    </row>
    <row r="231" spans="1:9" ht="19.5" customHeight="1" x14ac:dyDescent="0.3">
      <c r="A231" s="39" t="s">
        <v>646</v>
      </c>
      <c r="B231" s="36"/>
      <c r="C231" s="26" t="str">
        <f>IF(B231="","",IFERROR(VLOOKUP(B231,'👥 MEMBRES'!A:B,2,0),"?"))</f>
        <v/>
      </c>
      <c r="D231" s="26" t="str">
        <f>IF(B231="","",IFERROR(VLOOKUP(B231,'👥 MEMBRES'!A:C,3,0),"?"))</f>
        <v/>
      </c>
      <c r="E231" s="36"/>
      <c r="F231" s="36"/>
      <c r="G231" s="24" t="str">
        <f>IF(F231="","",IF(F231="Retard cotisation",'⚙️ PARAMÈTRES'!B8,IF(F231="Absence réunion",'⚙️ PARAMÈTRES'!B9,0)))</f>
        <v/>
      </c>
      <c r="H231" s="36"/>
      <c r="I231" s="23">
        <f t="shared" si="3"/>
        <v>0</v>
      </c>
    </row>
    <row r="232" spans="1:9" ht="19.5" customHeight="1" x14ac:dyDescent="0.3">
      <c r="A232" s="39" t="s">
        <v>647</v>
      </c>
      <c r="B232" s="32"/>
      <c r="C232" s="18" t="str">
        <f>IF(B232="","",IFERROR(VLOOKUP(B232,'👥 MEMBRES'!A:B,2,0),"?"))</f>
        <v/>
      </c>
      <c r="D232" s="18" t="str">
        <f>IF(B232="","",IFERROR(VLOOKUP(B232,'👥 MEMBRES'!A:C,3,0),"?"))</f>
        <v/>
      </c>
      <c r="E232" s="32"/>
      <c r="F232" s="32"/>
      <c r="G232" s="24" t="str">
        <f>IF(F232="","",IF(F232="Retard cotisation",'⚙️ PARAMÈTRES'!B8,IF(F232="Absence réunion",'⚙️ PARAMÈTRES'!B9,0)))</f>
        <v/>
      </c>
      <c r="H232" s="32"/>
      <c r="I232" s="23">
        <f t="shared" si="3"/>
        <v>0</v>
      </c>
    </row>
    <row r="233" spans="1:9" ht="19.5" customHeight="1" x14ac:dyDescent="0.3">
      <c r="A233" s="39" t="s">
        <v>648</v>
      </c>
      <c r="B233" s="36"/>
      <c r="C233" s="26" t="str">
        <f>IF(B233="","",IFERROR(VLOOKUP(B233,'👥 MEMBRES'!A:B,2,0),"?"))</f>
        <v/>
      </c>
      <c r="D233" s="26" t="str">
        <f>IF(B233="","",IFERROR(VLOOKUP(B233,'👥 MEMBRES'!A:C,3,0),"?"))</f>
        <v/>
      </c>
      <c r="E233" s="36"/>
      <c r="F233" s="36"/>
      <c r="G233" s="24" t="str">
        <f>IF(F233="","",IF(F233="Retard cotisation",'⚙️ PARAMÈTRES'!B8,IF(F233="Absence réunion",'⚙️ PARAMÈTRES'!B9,0)))</f>
        <v/>
      </c>
      <c r="H233" s="36"/>
      <c r="I233" s="23">
        <f t="shared" si="3"/>
        <v>0</v>
      </c>
    </row>
    <row r="234" spans="1:9" ht="19.5" customHeight="1" x14ac:dyDescent="0.3">
      <c r="A234" s="39" t="s">
        <v>649</v>
      </c>
      <c r="B234" s="32"/>
      <c r="C234" s="18" t="str">
        <f>IF(B234="","",IFERROR(VLOOKUP(B234,'👥 MEMBRES'!A:B,2,0),"?"))</f>
        <v/>
      </c>
      <c r="D234" s="18" t="str">
        <f>IF(B234="","",IFERROR(VLOOKUP(B234,'👥 MEMBRES'!A:C,3,0),"?"))</f>
        <v/>
      </c>
      <c r="E234" s="32"/>
      <c r="F234" s="32"/>
      <c r="G234" s="24" t="str">
        <f>IF(F234="","",IF(F234="Retard cotisation",'⚙️ PARAMÈTRES'!B8,IF(F234="Absence réunion",'⚙️ PARAMÈTRES'!B9,0)))</f>
        <v/>
      </c>
      <c r="H234" s="32"/>
      <c r="I234" s="23">
        <f t="shared" si="3"/>
        <v>0</v>
      </c>
    </row>
    <row r="235" spans="1:9" ht="19.5" customHeight="1" x14ac:dyDescent="0.3">
      <c r="A235" s="39" t="s">
        <v>650</v>
      </c>
      <c r="B235" s="36"/>
      <c r="C235" s="26" t="str">
        <f>IF(B235="","",IFERROR(VLOOKUP(B235,'👥 MEMBRES'!A:B,2,0),"?"))</f>
        <v/>
      </c>
      <c r="D235" s="26" t="str">
        <f>IF(B235="","",IFERROR(VLOOKUP(B235,'👥 MEMBRES'!A:C,3,0),"?"))</f>
        <v/>
      </c>
      <c r="E235" s="36"/>
      <c r="F235" s="36"/>
      <c r="G235" s="24" t="str">
        <f>IF(F235="","",IF(F235="Retard cotisation",'⚙️ PARAMÈTRES'!B8,IF(F235="Absence réunion",'⚙️ PARAMÈTRES'!B9,0)))</f>
        <v/>
      </c>
      <c r="H235" s="36"/>
      <c r="I235" s="23">
        <f t="shared" si="3"/>
        <v>0</v>
      </c>
    </row>
    <row r="236" spans="1:9" ht="19.5" customHeight="1" x14ac:dyDescent="0.3">
      <c r="A236" s="39" t="s">
        <v>651</v>
      </c>
      <c r="B236" s="32"/>
      <c r="C236" s="18" t="str">
        <f>IF(B236="","",IFERROR(VLOOKUP(B236,'👥 MEMBRES'!A:B,2,0),"?"))</f>
        <v/>
      </c>
      <c r="D236" s="18" t="str">
        <f>IF(B236="","",IFERROR(VLOOKUP(B236,'👥 MEMBRES'!A:C,3,0),"?"))</f>
        <v/>
      </c>
      <c r="E236" s="32"/>
      <c r="F236" s="32"/>
      <c r="G236" s="24" t="str">
        <f>IF(F236="","",IF(F236="Retard cotisation",'⚙️ PARAMÈTRES'!B8,IF(F236="Absence réunion",'⚙️ PARAMÈTRES'!B9,0)))</f>
        <v/>
      </c>
      <c r="H236" s="32"/>
      <c r="I236" s="23">
        <f t="shared" si="3"/>
        <v>0</v>
      </c>
    </row>
    <row r="237" spans="1:9" ht="19.5" customHeight="1" x14ac:dyDescent="0.3">
      <c r="A237" s="39" t="s">
        <v>652</v>
      </c>
      <c r="B237" s="36"/>
      <c r="C237" s="26" t="str">
        <f>IF(B237="","",IFERROR(VLOOKUP(B237,'👥 MEMBRES'!A:B,2,0),"?"))</f>
        <v/>
      </c>
      <c r="D237" s="26" t="str">
        <f>IF(B237="","",IFERROR(VLOOKUP(B237,'👥 MEMBRES'!A:C,3,0),"?"))</f>
        <v/>
      </c>
      <c r="E237" s="36"/>
      <c r="F237" s="36"/>
      <c r="G237" s="24" t="str">
        <f>IF(F237="","",IF(F237="Retard cotisation",'⚙️ PARAMÈTRES'!B8,IF(F237="Absence réunion",'⚙️ PARAMÈTRES'!B9,0)))</f>
        <v/>
      </c>
      <c r="H237" s="36"/>
      <c r="I237" s="23">
        <f t="shared" si="3"/>
        <v>0</v>
      </c>
    </row>
    <row r="238" spans="1:9" ht="19.5" customHeight="1" x14ac:dyDescent="0.3">
      <c r="A238" s="39" t="s">
        <v>653</v>
      </c>
      <c r="B238" s="32"/>
      <c r="C238" s="18" t="str">
        <f>IF(B238="","",IFERROR(VLOOKUP(B238,'👥 MEMBRES'!A:B,2,0),"?"))</f>
        <v/>
      </c>
      <c r="D238" s="18" t="str">
        <f>IF(B238="","",IFERROR(VLOOKUP(B238,'👥 MEMBRES'!A:C,3,0),"?"))</f>
        <v/>
      </c>
      <c r="E238" s="32"/>
      <c r="F238" s="32"/>
      <c r="G238" s="24" t="str">
        <f>IF(F238="","",IF(F238="Retard cotisation",'⚙️ PARAMÈTRES'!B8,IF(F238="Absence réunion",'⚙️ PARAMÈTRES'!B9,0)))</f>
        <v/>
      </c>
      <c r="H238" s="32"/>
      <c r="I238" s="23">
        <f t="shared" si="3"/>
        <v>0</v>
      </c>
    </row>
    <row r="239" spans="1:9" ht="19.5" customHeight="1" x14ac:dyDescent="0.3">
      <c r="A239" s="39" t="s">
        <v>654</v>
      </c>
      <c r="B239" s="36"/>
      <c r="C239" s="26" t="str">
        <f>IF(B239="","",IFERROR(VLOOKUP(B239,'👥 MEMBRES'!A:B,2,0),"?"))</f>
        <v/>
      </c>
      <c r="D239" s="26" t="str">
        <f>IF(B239="","",IFERROR(VLOOKUP(B239,'👥 MEMBRES'!A:C,3,0),"?"))</f>
        <v/>
      </c>
      <c r="E239" s="36"/>
      <c r="F239" s="36"/>
      <c r="G239" s="24" t="str">
        <f>IF(F239="","",IF(F239="Retard cotisation",'⚙️ PARAMÈTRES'!B8,IF(F239="Absence réunion",'⚙️ PARAMÈTRES'!B9,0)))</f>
        <v/>
      </c>
      <c r="H239" s="36"/>
      <c r="I239" s="23">
        <f t="shared" si="3"/>
        <v>0</v>
      </c>
    </row>
    <row r="240" spans="1:9" ht="19.5" customHeight="1" x14ac:dyDescent="0.3">
      <c r="A240" s="39" t="s">
        <v>655</v>
      </c>
      <c r="B240" s="32"/>
      <c r="C240" s="18" t="str">
        <f>IF(B240="","",IFERROR(VLOOKUP(B240,'👥 MEMBRES'!A:B,2,0),"?"))</f>
        <v/>
      </c>
      <c r="D240" s="18" t="str">
        <f>IF(B240="","",IFERROR(VLOOKUP(B240,'👥 MEMBRES'!A:C,3,0),"?"))</f>
        <v/>
      </c>
      <c r="E240" s="32"/>
      <c r="F240" s="32"/>
      <c r="G240" s="24" t="str">
        <f>IF(F240="","",IF(F240="Retard cotisation",'⚙️ PARAMÈTRES'!B8,IF(F240="Absence réunion",'⚙️ PARAMÈTRES'!B9,0)))</f>
        <v/>
      </c>
      <c r="H240" s="32"/>
      <c r="I240" s="23">
        <f t="shared" si="3"/>
        <v>0</v>
      </c>
    </row>
    <row r="241" spans="1:9" ht="19.5" customHeight="1" x14ac:dyDescent="0.3">
      <c r="A241" s="39" t="s">
        <v>656</v>
      </c>
      <c r="B241" s="36"/>
      <c r="C241" s="26" t="str">
        <f>IF(B241="","",IFERROR(VLOOKUP(B241,'👥 MEMBRES'!A:B,2,0),"?"))</f>
        <v/>
      </c>
      <c r="D241" s="26" t="str">
        <f>IF(B241="","",IFERROR(VLOOKUP(B241,'👥 MEMBRES'!A:C,3,0),"?"))</f>
        <v/>
      </c>
      <c r="E241" s="36"/>
      <c r="F241" s="36"/>
      <c r="G241" s="24" t="str">
        <f>IF(F241="","",IF(F241="Retard cotisation",'⚙️ PARAMÈTRES'!B8,IF(F241="Absence réunion",'⚙️ PARAMÈTRES'!B9,0)))</f>
        <v/>
      </c>
      <c r="H241" s="36"/>
      <c r="I241" s="23">
        <f t="shared" si="3"/>
        <v>0</v>
      </c>
    </row>
    <row r="242" spans="1:9" ht="19.5" customHeight="1" x14ac:dyDescent="0.3">
      <c r="A242" s="39" t="s">
        <v>657</v>
      </c>
      <c r="B242" s="32"/>
      <c r="C242" s="18" t="str">
        <f>IF(B242="","",IFERROR(VLOOKUP(B242,'👥 MEMBRES'!A:B,2,0),"?"))</f>
        <v/>
      </c>
      <c r="D242" s="18" t="str">
        <f>IF(B242="","",IFERROR(VLOOKUP(B242,'👥 MEMBRES'!A:C,3,0),"?"))</f>
        <v/>
      </c>
      <c r="E242" s="32"/>
      <c r="F242" s="32"/>
      <c r="G242" s="24" t="str">
        <f>IF(F242="","",IF(F242="Retard cotisation",'⚙️ PARAMÈTRES'!B8,IF(F242="Absence réunion",'⚙️ PARAMÈTRES'!B9,0)))</f>
        <v/>
      </c>
      <c r="H242" s="32"/>
      <c r="I242" s="23">
        <f t="shared" si="3"/>
        <v>0</v>
      </c>
    </row>
    <row r="243" spans="1:9" ht="19.5" customHeight="1" x14ac:dyDescent="0.3">
      <c r="A243" s="39" t="s">
        <v>658</v>
      </c>
      <c r="B243" s="36"/>
      <c r="C243" s="26" t="str">
        <f>IF(B243="","",IFERROR(VLOOKUP(B243,'👥 MEMBRES'!A:B,2,0),"?"))</f>
        <v/>
      </c>
      <c r="D243" s="26" t="str">
        <f>IF(B243="","",IFERROR(VLOOKUP(B243,'👥 MEMBRES'!A:C,3,0),"?"))</f>
        <v/>
      </c>
      <c r="E243" s="36"/>
      <c r="F243" s="36"/>
      <c r="G243" s="24" t="str">
        <f>IF(F243="","",IF(F243="Retard cotisation",'⚙️ PARAMÈTRES'!B8,IF(F243="Absence réunion",'⚙️ PARAMÈTRES'!B9,0)))</f>
        <v/>
      </c>
      <c r="H243" s="36"/>
      <c r="I243" s="23">
        <f t="shared" si="3"/>
        <v>0</v>
      </c>
    </row>
    <row r="244" spans="1:9" ht="19.5" customHeight="1" x14ac:dyDescent="0.3">
      <c r="A244" s="39" t="s">
        <v>659</v>
      </c>
      <c r="B244" s="32"/>
      <c r="C244" s="18" t="str">
        <f>IF(B244="","",IFERROR(VLOOKUP(B244,'👥 MEMBRES'!A:B,2,0),"?"))</f>
        <v/>
      </c>
      <c r="D244" s="18" t="str">
        <f>IF(B244="","",IFERROR(VLOOKUP(B244,'👥 MEMBRES'!A:C,3,0),"?"))</f>
        <v/>
      </c>
      <c r="E244" s="32"/>
      <c r="F244" s="32"/>
      <c r="G244" s="24" t="str">
        <f>IF(F244="","",IF(F244="Retard cotisation",'⚙️ PARAMÈTRES'!B8,IF(F244="Absence réunion",'⚙️ PARAMÈTRES'!B9,0)))</f>
        <v/>
      </c>
      <c r="H244" s="32"/>
      <c r="I244" s="23">
        <f t="shared" si="3"/>
        <v>0</v>
      </c>
    </row>
    <row r="245" spans="1:9" ht="19.5" customHeight="1" x14ac:dyDescent="0.3">
      <c r="A245" s="39" t="s">
        <v>660</v>
      </c>
      <c r="B245" s="36"/>
      <c r="C245" s="26" t="str">
        <f>IF(B245="","",IFERROR(VLOOKUP(B245,'👥 MEMBRES'!A:B,2,0),"?"))</f>
        <v/>
      </c>
      <c r="D245" s="26" t="str">
        <f>IF(B245="","",IFERROR(VLOOKUP(B245,'👥 MEMBRES'!A:C,3,0),"?"))</f>
        <v/>
      </c>
      <c r="E245" s="36"/>
      <c r="F245" s="36"/>
      <c r="G245" s="24" t="str">
        <f>IF(F245="","",IF(F245="Retard cotisation",'⚙️ PARAMÈTRES'!B8,IF(F245="Absence réunion",'⚙️ PARAMÈTRES'!B9,0)))</f>
        <v/>
      </c>
      <c r="H245" s="36"/>
      <c r="I245" s="23">
        <f t="shared" si="3"/>
        <v>0</v>
      </c>
    </row>
    <row r="246" spans="1:9" ht="19.5" customHeight="1" x14ac:dyDescent="0.3">
      <c r="A246" s="39" t="s">
        <v>661</v>
      </c>
      <c r="B246" s="32"/>
      <c r="C246" s="18" t="str">
        <f>IF(B246="","",IFERROR(VLOOKUP(B246,'👥 MEMBRES'!A:B,2,0),"?"))</f>
        <v/>
      </c>
      <c r="D246" s="18" t="str">
        <f>IF(B246="","",IFERROR(VLOOKUP(B246,'👥 MEMBRES'!A:C,3,0),"?"))</f>
        <v/>
      </c>
      <c r="E246" s="32"/>
      <c r="F246" s="32"/>
      <c r="G246" s="24" t="str">
        <f>IF(F246="","",IF(F246="Retard cotisation",'⚙️ PARAMÈTRES'!B8,IF(F246="Absence réunion",'⚙️ PARAMÈTRES'!B9,0)))</f>
        <v/>
      </c>
      <c r="H246" s="32"/>
      <c r="I246" s="23">
        <f t="shared" si="3"/>
        <v>0</v>
      </c>
    </row>
    <row r="247" spans="1:9" ht="19.5" customHeight="1" x14ac:dyDescent="0.3">
      <c r="A247" s="39" t="s">
        <v>662</v>
      </c>
      <c r="B247" s="36"/>
      <c r="C247" s="26" t="str">
        <f>IF(B247="","",IFERROR(VLOOKUP(B247,'👥 MEMBRES'!A:B,2,0),"?"))</f>
        <v/>
      </c>
      <c r="D247" s="26" t="str">
        <f>IF(B247="","",IFERROR(VLOOKUP(B247,'👥 MEMBRES'!A:C,3,0),"?"))</f>
        <v/>
      </c>
      <c r="E247" s="36"/>
      <c r="F247" s="36"/>
      <c r="G247" s="24" t="str">
        <f>IF(F247="","",IF(F247="Retard cotisation",'⚙️ PARAMÈTRES'!B8,IF(F247="Absence réunion",'⚙️ PARAMÈTRES'!B9,0)))</f>
        <v/>
      </c>
      <c r="H247" s="36"/>
      <c r="I247" s="23">
        <f t="shared" si="3"/>
        <v>0</v>
      </c>
    </row>
    <row r="248" spans="1:9" ht="19.5" customHeight="1" x14ac:dyDescent="0.3">
      <c r="A248" s="39" t="s">
        <v>663</v>
      </c>
      <c r="B248" s="32"/>
      <c r="C248" s="18" t="str">
        <f>IF(B248="","",IFERROR(VLOOKUP(B248,'👥 MEMBRES'!A:B,2,0),"?"))</f>
        <v/>
      </c>
      <c r="D248" s="18" t="str">
        <f>IF(B248="","",IFERROR(VLOOKUP(B248,'👥 MEMBRES'!A:C,3,0),"?"))</f>
        <v/>
      </c>
      <c r="E248" s="32"/>
      <c r="F248" s="32"/>
      <c r="G248" s="24" t="str">
        <f>IF(F248="","",IF(F248="Retard cotisation",'⚙️ PARAMÈTRES'!B8,IF(F248="Absence réunion",'⚙️ PARAMÈTRES'!B9,0)))</f>
        <v/>
      </c>
      <c r="H248" s="32"/>
      <c r="I248" s="23">
        <f t="shared" si="3"/>
        <v>0</v>
      </c>
    </row>
    <row r="249" spans="1:9" ht="19.5" customHeight="1" x14ac:dyDescent="0.3">
      <c r="A249" s="39" t="s">
        <v>664</v>
      </c>
      <c r="B249" s="36"/>
      <c r="C249" s="26" t="str">
        <f>IF(B249="","",IFERROR(VLOOKUP(B249,'👥 MEMBRES'!A:B,2,0),"?"))</f>
        <v/>
      </c>
      <c r="D249" s="26" t="str">
        <f>IF(B249="","",IFERROR(VLOOKUP(B249,'👥 MEMBRES'!A:C,3,0),"?"))</f>
        <v/>
      </c>
      <c r="E249" s="36"/>
      <c r="F249" s="36"/>
      <c r="G249" s="24" t="str">
        <f>IF(F249="","",IF(F249="Retard cotisation",'⚙️ PARAMÈTRES'!B8,IF(F249="Absence réunion",'⚙️ PARAMÈTRES'!B9,0)))</f>
        <v/>
      </c>
      <c r="H249" s="36"/>
      <c r="I249" s="23">
        <f t="shared" si="3"/>
        <v>0</v>
      </c>
    </row>
    <row r="250" spans="1:9" ht="19.5" customHeight="1" x14ac:dyDescent="0.3">
      <c r="A250" s="39" t="s">
        <v>665</v>
      </c>
      <c r="B250" s="32"/>
      <c r="C250" s="18" t="str">
        <f>IF(B250="","",IFERROR(VLOOKUP(B250,'👥 MEMBRES'!A:B,2,0),"?"))</f>
        <v/>
      </c>
      <c r="D250" s="18" t="str">
        <f>IF(B250="","",IFERROR(VLOOKUP(B250,'👥 MEMBRES'!A:C,3,0),"?"))</f>
        <v/>
      </c>
      <c r="E250" s="32"/>
      <c r="F250" s="32"/>
      <c r="G250" s="24" t="str">
        <f>IF(F250="","",IF(F250="Retard cotisation",'⚙️ PARAMÈTRES'!B8,IF(F250="Absence réunion",'⚙️ PARAMÈTRES'!B9,0)))</f>
        <v/>
      </c>
      <c r="H250" s="32"/>
      <c r="I250" s="23">
        <f t="shared" si="3"/>
        <v>0</v>
      </c>
    </row>
    <row r="251" spans="1:9" ht="19.5" customHeight="1" x14ac:dyDescent="0.3">
      <c r="A251" s="39" t="s">
        <v>666</v>
      </c>
      <c r="B251" s="36"/>
      <c r="C251" s="26" t="str">
        <f>IF(B251="","",IFERROR(VLOOKUP(B251,'👥 MEMBRES'!A:B,2,0),"?"))</f>
        <v/>
      </c>
      <c r="D251" s="26" t="str">
        <f>IF(B251="","",IFERROR(VLOOKUP(B251,'👥 MEMBRES'!A:C,3,0),"?"))</f>
        <v/>
      </c>
      <c r="E251" s="36"/>
      <c r="F251" s="36"/>
      <c r="G251" s="24" t="str">
        <f>IF(F251="","",IF(F251="Retard cotisation",'⚙️ PARAMÈTRES'!B8,IF(F251="Absence réunion",'⚙️ PARAMÈTRES'!B9,0)))</f>
        <v/>
      </c>
      <c r="H251" s="36"/>
      <c r="I251" s="23">
        <f t="shared" si="3"/>
        <v>0</v>
      </c>
    </row>
    <row r="252" spans="1:9" ht="19.5" customHeight="1" x14ac:dyDescent="0.3">
      <c r="A252" s="39" t="s">
        <v>667</v>
      </c>
      <c r="B252" s="32"/>
      <c r="C252" s="18" t="str">
        <f>IF(B252="","",IFERROR(VLOOKUP(B252,'👥 MEMBRES'!A:B,2,0),"?"))</f>
        <v/>
      </c>
      <c r="D252" s="18" t="str">
        <f>IF(B252="","",IFERROR(VLOOKUP(B252,'👥 MEMBRES'!A:C,3,0),"?"))</f>
        <v/>
      </c>
      <c r="E252" s="32"/>
      <c r="F252" s="32"/>
      <c r="G252" s="24" t="str">
        <f>IF(F252="","",IF(F252="Retard cotisation",'⚙️ PARAMÈTRES'!B8,IF(F252="Absence réunion",'⚙️ PARAMÈTRES'!B9,0)))</f>
        <v/>
      </c>
      <c r="H252" s="32"/>
      <c r="I252" s="23">
        <f t="shared" si="3"/>
        <v>0</v>
      </c>
    </row>
    <row r="253" spans="1:9" ht="19.5" customHeight="1" x14ac:dyDescent="0.3">
      <c r="A253" s="39" t="s">
        <v>668</v>
      </c>
      <c r="B253" s="36"/>
      <c r="C253" s="26" t="str">
        <f>IF(B253="","",IFERROR(VLOOKUP(B253,'👥 MEMBRES'!A:B,2,0),"?"))</f>
        <v/>
      </c>
      <c r="D253" s="26" t="str">
        <f>IF(B253="","",IFERROR(VLOOKUP(B253,'👥 MEMBRES'!A:C,3,0),"?"))</f>
        <v/>
      </c>
      <c r="E253" s="36"/>
      <c r="F253" s="36"/>
      <c r="G253" s="24" t="str">
        <f>IF(F253="","",IF(F253="Retard cotisation",'⚙️ PARAMÈTRES'!B8,IF(F253="Absence réunion",'⚙️ PARAMÈTRES'!B9,0)))</f>
        <v/>
      </c>
      <c r="H253" s="36"/>
      <c r="I253" s="23">
        <f t="shared" si="3"/>
        <v>0</v>
      </c>
    </row>
    <row r="254" spans="1:9" ht="19.5" customHeight="1" x14ac:dyDescent="0.3">
      <c r="A254" s="39" t="s">
        <v>669</v>
      </c>
      <c r="B254" s="32"/>
      <c r="C254" s="18" t="str">
        <f>IF(B254="","",IFERROR(VLOOKUP(B254,'👥 MEMBRES'!A:B,2,0),"?"))</f>
        <v/>
      </c>
      <c r="D254" s="18" t="str">
        <f>IF(B254="","",IFERROR(VLOOKUP(B254,'👥 MEMBRES'!A:C,3,0),"?"))</f>
        <v/>
      </c>
      <c r="E254" s="32"/>
      <c r="F254" s="32"/>
      <c r="G254" s="24" t="str">
        <f>IF(F254="","",IF(F254="Retard cotisation",'⚙️ PARAMÈTRES'!B8,IF(F254="Absence réunion",'⚙️ PARAMÈTRES'!B9,0)))</f>
        <v/>
      </c>
      <c r="H254" s="32"/>
      <c r="I254" s="23">
        <f t="shared" si="3"/>
        <v>0</v>
      </c>
    </row>
    <row r="255" spans="1:9" ht="19.5" customHeight="1" x14ac:dyDescent="0.3">
      <c r="A255" s="39" t="s">
        <v>670</v>
      </c>
      <c r="B255" s="36"/>
      <c r="C255" s="26" t="str">
        <f>IF(B255="","",IFERROR(VLOOKUP(B255,'👥 MEMBRES'!A:B,2,0),"?"))</f>
        <v/>
      </c>
      <c r="D255" s="26" t="str">
        <f>IF(B255="","",IFERROR(VLOOKUP(B255,'👥 MEMBRES'!A:C,3,0),"?"))</f>
        <v/>
      </c>
      <c r="E255" s="36"/>
      <c r="F255" s="36"/>
      <c r="G255" s="24" t="str">
        <f>IF(F255="","",IF(F255="Retard cotisation",'⚙️ PARAMÈTRES'!B8,IF(F255="Absence réunion",'⚙️ PARAMÈTRES'!B9,0)))</f>
        <v/>
      </c>
      <c r="H255" s="36"/>
      <c r="I255" s="23">
        <f t="shared" si="3"/>
        <v>0</v>
      </c>
    </row>
    <row r="256" spans="1:9" ht="19.5" customHeight="1" x14ac:dyDescent="0.3">
      <c r="A256" s="39" t="s">
        <v>671</v>
      </c>
      <c r="B256" s="32"/>
      <c r="C256" s="18" t="str">
        <f>IF(B256="","",IFERROR(VLOOKUP(B256,'👥 MEMBRES'!A:B,2,0),"?"))</f>
        <v/>
      </c>
      <c r="D256" s="18" t="str">
        <f>IF(B256="","",IFERROR(VLOOKUP(B256,'👥 MEMBRES'!A:C,3,0),"?"))</f>
        <v/>
      </c>
      <c r="E256" s="32"/>
      <c r="F256" s="32"/>
      <c r="G256" s="24" t="str">
        <f>IF(F256="","",IF(F256="Retard cotisation",'⚙️ PARAMÈTRES'!B8,IF(F256="Absence réunion",'⚙️ PARAMÈTRES'!B9,0)))</f>
        <v/>
      </c>
      <c r="H256" s="32"/>
      <c r="I256" s="23">
        <f t="shared" si="3"/>
        <v>0</v>
      </c>
    </row>
    <row r="257" spans="1:9" ht="19.5" customHeight="1" x14ac:dyDescent="0.3">
      <c r="A257" s="39" t="s">
        <v>672</v>
      </c>
      <c r="B257" s="36"/>
      <c r="C257" s="26" t="str">
        <f>IF(B257="","",IFERROR(VLOOKUP(B257,'👥 MEMBRES'!A:B,2,0),"?"))</f>
        <v/>
      </c>
      <c r="D257" s="26" t="str">
        <f>IF(B257="","",IFERROR(VLOOKUP(B257,'👥 MEMBRES'!A:C,3,0),"?"))</f>
        <v/>
      </c>
      <c r="E257" s="36"/>
      <c r="F257" s="36"/>
      <c r="G257" s="24" t="str">
        <f>IF(F257="","",IF(F257="Retard cotisation",'⚙️ PARAMÈTRES'!B8,IF(F257="Absence réunion",'⚙️ PARAMÈTRES'!B9,0)))</f>
        <v/>
      </c>
      <c r="H257" s="36"/>
      <c r="I257" s="23">
        <f t="shared" si="3"/>
        <v>0</v>
      </c>
    </row>
    <row r="258" spans="1:9" ht="19.5" customHeight="1" x14ac:dyDescent="0.3">
      <c r="A258" s="39" t="s">
        <v>673</v>
      </c>
      <c r="B258" s="32"/>
      <c r="C258" s="18" t="str">
        <f>IF(B258="","",IFERROR(VLOOKUP(B258,'👥 MEMBRES'!A:B,2,0),"?"))</f>
        <v/>
      </c>
      <c r="D258" s="18" t="str">
        <f>IF(B258="","",IFERROR(VLOOKUP(B258,'👥 MEMBRES'!A:C,3,0),"?"))</f>
        <v/>
      </c>
      <c r="E258" s="32"/>
      <c r="F258" s="32"/>
      <c r="G258" s="24" t="str">
        <f>IF(F258="","",IF(F258="Retard cotisation",'⚙️ PARAMÈTRES'!B8,IF(F258="Absence réunion",'⚙️ PARAMÈTRES'!B9,0)))</f>
        <v/>
      </c>
      <c r="H258" s="32"/>
      <c r="I258" s="23">
        <f t="shared" si="3"/>
        <v>0</v>
      </c>
    </row>
    <row r="259" spans="1:9" ht="19.5" customHeight="1" x14ac:dyDescent="0.3">
      <c r="A259" s="39" t="s">
        <v>674</v>
      </c>
      <c r="B259" s="36"/>
      <c r="C259" s="26" t="str">
        <f>IF(B259="","",IFERROR(VLOOKUP(B259,'👥 MEMBRES'!A:B,2,0),"?"))</f>
        <v/>
      </c>
      <c r="D259" s="26" t="str">
        <f>IF(B259="","",IFERROR(VLOOKUP(B259,'👥 MEMBRES'!A:C,3,0),"?"))</f>
        <v/>
      </c>
      <c r="E259" s="36"/>
      <c r="F259" s="36"/>
      <c r="G259" s="24" t="str">
        <f>IF(F259="","",IF(F259="Retard cotisation",'⚙️ PARAMÈTRES'!B8,IF(F259="Absence réunion",'⚙️ PARAMÈTRES'!B9,0)))</f>
        <v/>
      </c>
      <c r="H259" s="36"/>
      <c r="I259" s="23">
        <f t="shared" si="3"/>
        <v>0</v>
      </c>
    </row>
    <row r="260" spans="1:9" ht="19.5" customHeight="1" x14ac:dyDescent="0.3">
      <c r="A260" s="39" t="s">
        <v>675</v>
      </c>
      <c r="B260" s="32"/>
      <c r="C260" s="18" t="str">
        <f>IF(B260="","",IFERROR(VLOOKUP(B260,'👥 MEMBRES'!A:B,2,0),"?"))</f>
        <v/>
      </c>
      <c r="D260" s="18" t="str">
        <f>IF(B260="","",IFERROR(VLOOKUP(B260,'👥 MEMBRES'!A:C,3,0),"?"))</f>
        <v/>
      </c>
      <c r="E260" s="32"/>
      <c r="F260" s="32"/>
      <c r="G260" s="24" t="str">
        <f>IF(F260="","",IF(F260="Retard cotisation",'⚙️ PARAMÈTRES'!B8,IF(F260="Absence réunion",'⚙️ PARAMÈTRES'!B9,0)))</f>
        <v/>
      </c>
      <c r="H260" s="32"/>
      <c r="I260" s="23">
        <f t="shared" ref="I260:I303" si="4">IF(G260="",0,IF(H260="Oui",0,G260))</f>
        <v>0</v>
      </c>
    </row>
    <row r="261" spans="1:9" ht="19.5" customHeight="1" x14ac:dyDescent="0.3">
      <c r="A261" s="39" t="s">
        <v>676</v>
      </c>
      <c r="B261" s="36"/>
      <c r="C261" s="26" t="str">
        <f>IF(B261="","",IFERROR(VLOOKUP(B261,'👥 MEMBRES'!A:B,2,0),"?"))</f>
        <v/>
      </c>
      <c r="D261" s="26" t="str">
        <f>IF(B261="","",IFERROR(VLOOKUP(B261,'👥 MEMBRES'!A:C,3,0),"?"))</f>
        <v/>
      </c>
      <c r="E261" s="36"/>
      <c r="F261" s="36"/>
      <c r="G261" s="24" t="str">
        <f>IF(F261="","",IF(F261="Retard cotisation",'⚙️ PARAMÈTRES'!B8,IF(F261="Absence réunion",'⚙️ PARAMÈTRES'!B9,0)))</f>
        <v/>
      </c>
      <c r="H261" s="36"/>
      <c r="I261" s="23">
        <f t="shared" si="4"/>
        <v>0</v>
      </c>
    </row>
    <row r="262" spans="1:9" ht="19.5" customHeight="1" x14ac:dyDescent="0.3">
      <c r="A262" s="39" t="s">
        <v>677</v>
      </c>
      <c r="B262" s="32"/>
      <c r="C262" s="18" t="str">
        <f>IF(B262="","",IFERROR(VLOOKUP(B262,'👥 MEMBRES'!A:B,2,0),"?"))</f>
        <v/>
      </c>
      <c r="D262" s="18" t="str">
        <f>IF(B262="","",IFERROR(VLOOKUP(B262,'👥 MEMBRES'!A:C,3,0),"?"))</f>
        <v/>
      </c>
      <c r="E262" s="32"/>
      <c r="F262" s="32"/>
      <c r="G262" s="24" t="str">
        <f>IF(F262="","",IF(F262="Retard cotisation",'⚙️ PARAMÈTRES'!B8,IF(F262="Absence réunion",'⚙️ PARAMÈTRES'!B9,0)))</f>
        <v/>
      </c>
      <c r="H262" s="32"/>
      <c r="I262" s="23">
        <f t="shared" si="4"/>
        <v>0</v>
      </c>
    </row>
    <row r="263" spans="1:9" ht="19.5" customHeight="1" x14ac:dyDescent="0.3">
      <c r="A263" s="39" t="s">
        <v>678</v>
      </c>
      <c r="B263" s="36"/>
      <c r="C263" s="26" t="str">
        <f>IF(B263="","",IFERROR(VLOOKUP(B263,'👥 MEMBRES'!A:B,2,0),"?"))</f>
        <v/>
      </c>
      <c r="D263" s="26" t="str">
        <f>IF(B263="","",IFERROR(VLOOKUP(B263,'👥 MEMBRES'!A:C,3,0),"?"))</f>
        <v/>
      </c>
      <c r="E263" s="36"/>
      <c r="F263" s="36"/>
      <c r="G263" s="24" t="str">
        <f>IF(F263="","",IF(F263="Retard cotisation",'⚙️ PARAMÈTRES'!B8,IF(F263="Absence réunion",'⚙️ PARAMÈTRES'!B9,0)))</f>
        <v/>
      </c>
      <c r="H263" s="36"/>
      <c r="I263" s="23">
        <f t="shared" si="4"/>
        <v>0</v>
      </c>
    </row>
    <row r="264" spans="1:9" ht="19.5" customHeight="1" x14ac:dyDescent="0.3">
      <c r="A264" s="39" t="s">
        <v>679</v>
      </c>
      <c r="B264" s="32"/>
      <c r="C264" s="18" t="str">
        <f>IF(B264="","",IFERROR(VLOOKUP(B264,'👥 MEMBRES'!A:B,2,0),"?"))</f>
        <v/>
      </c>
      <c r="D264" s="18" t="str">
        <f>IF(B264="","",IFERROR(VLOOKUP(B264,'👥 MEMBRES'!A:C,3,0),"?"))</f>
        <v/>
      </c>
      <c r="E264" s="32"/>
      <c r="F264" s="32"/>
      <c r="G264" s="24" t="str">
        <f>IF(F264="","",IF(F264="Retard cotisation",'⚙️ PARAMÈTRES'!B8,IF(F264="Absence réunion",'⚙️ PARAMÈTRES'!B9,0)))</f>
        <v/>
      </c>
      <c r="H264" s="32"/>
      <c r="I264" s="23">
        <f t="shared" si="4"/>
        <v>0</v>
      </c>
    </row>
    <row r="265" spans="1:9" ht="19.5" customHeight="1" x14ac:dyDescent="0.3">
      <c r="A265" s="39" t="s">
        <v>680</v>
      </c>
      <c r="B265" s="36"/>
      <c r="C265" s="26" t="str">
        <f>IF(B265="","",IFERROR(VLOOKUP(B265,'👥 MEMBRES'!A:B,2,0),"?"))</f>
        <v/>
      </c>
      <c r="D265" s="26" t="str">
        <f>IF(B265="","",IFERROR(VLOOKUP(B265,'👥 MEMBRES'!A:C,3,0),"?"))</f>
        <v/>
      </c>
      <c r="E265" s="36"/>
      <c r="F265" s="36"/>
      <c r="G265" s="24" t="str">
        <f>IF(F265="","",IF(F265="Retard cotisation",'⚙️ PARAMÈTRES'!B8,IF(F265="Absence réunion",'⚙️ PARAMÈTRES'!B9,0)))</f>
        <v/>
      </c>
      <c r="H265" s="36"/>
      <c r="I265" s="23">
        <f t="shared" si="4"/>
        <v>0</v>
      </c>
    </row>
    <row r="266" spans="1:9" ht="19.5" customHeight="1" x14ac:dyDescent="0.3">
      <c r="A266" s="39" t="s">
        <v>681</v>
      </c>
      <c r="B266" s="32"/>
      <c r="C266" s="18" t="str">
        <f>IF(B266="","",IFERROR(VLOOKUP(B266,'👥 MEMBRES'!A:B,2,0),"?"))</f>
        <v/>
      </c>
      <c r="D266" s="18" t="str">
        <f>IF(B266="","",IFERROR(VLOOKUP(B266,'👥 MEMBRES'!A:C,3,0),"?"))</f>
        <v/>
      </c>
      <c r="E266" s="32"/>
      <c r="F266" s="32"/>
      <c r="G266" s="24" t="str">
        <f>IF(F266="","",IF(F266="Retard cotisation",'⚙️ PARAMÈTRES'!B8,IF(F266="Absence réunion",'⚙️ PARAMÈTRES'!B9,0)))</f>
        <v/>
      </c>
      <c r="H266" s="32"/>
      <c r="I266" s="23">
        <f t="shared" si="4"/>
        <v>0</v>
      </c>
    </row>
    <row r="267" spans="1:9" ht="19.5" customHeight="1" x14ac:dyDescent="0.3">
      <c r="A267" s="39" t="s">
        <v>682</v>
      </c>
      <c r="B267" s="36"/>
      <c r="C267" s="26" t="str">
        <f>IF(B267="","",IFERROR(VLOOKUP(B267,'👥 MEMBRES'!A:B,2,0),"?"))</f>
        <v/>
      </c>
      <c r="D267" s="26" t="str">
        <f>IF(B267="","",IFERROR(VLOOKUP(B267,'👥 MEMBRES'!A:C,3,0),"?"))</f>
        <v/>
      </c>
      <c r="E267" s="36"/>
      <c r="F267" s="36"/>
      <c r="G267" s="24" t="str">
        <f>IF(F267="","",IF(F267="Retard cotisation",'⚙️ PARAMÈTRES'!B8,IF(F267="Absence réunion",'⚙️ PARAMÈTRES'!B9,0)))</f>
        <v/>
      </c>
      <c r="H267" s="36"/>
      <c r="I267" s="23">
        <f t="shared" si="4"/>
        <v>0</v>
      </c>
    </row>
    <row r="268" spans="1:9" ht="19.5" customHeight="1" x14ac:dyDescent="0.3">
      <c r="A268" s="39" t="s">
        <v>683</v>
      </c>
      <c r="B268" s="32"/>
      <c r="C268" s="18" t="str">
        <f>IF(B268="","",IFERROR(VLOOKUP(B268,'👥 MEMBRES'!A:B,2,0),"?"))</f>
        <v/>
      </c>
      <c r="D268" s="18" t="str">
        <f>IF(B268="","",IFERROR(VLOOKUP(B268,'👥 MEMBRES'!A:C,3,0),"?"))</f>
        <v/>
      </c>
      <c r="E268" s="32"/>
      <c r="F268" s="32"/>
      <c r="G268" s="24" t="str">
        <f>IF(F268="","",IF(F268="Retard cotisation",'⚙️ PARAMÈTRES'!B8,IF(F268="Absence réunion",'⚙️ PARAMÈTRES'!B9,0)))</f>
        <v/>
      </c>
      <c r="H268" s="32"/>
      <c r="I268" s="23">
        <f t="shared" si="4"/>
        <v>0</v>
      </c>
    </row>
    <row r="269" spans="1:9" ht="19.5" customHeight="1" x14ac:dyDescent="0.3">
      <c r="A269" s="39" t="s">
        <v>684</v>
      </c>
      <c r="B269" s="36"/>
      <c r="C269" s="26" t="str">
        <f>IF(B269="","",IFERROR(VLOOKUP(B269,'👥 MEMBRES'!A:B,2,0),"?"))</f>
        <v/>
      </c>
      <c r="D269" s="26" t="str">
        <f>IF(B269="","",IFERROR(VLOOKUP(B269,'👥 MEMBRES'!A:C,3,0),"?"))</f>
        <v/>
      </c>
      <c r="E269" s="36"/>
      <c r="F269" s="36"/>
      <c r="G269" s="24" t="str">
        <f>IF(F269="","",IF(F269="Retard cotisation",'⚙️ PARAMÈTRES'!B8,IF(F269="Absence réunion",'⚙️ PARAMÈTRES'!B9,0)))</f>
        <v/>
      </c>
      <c r="H269" s="36"/>
      <c r="I269" s="23">
        <f t="shared" si="4"/>
        <v>0</v>
      </c>
    </row>
    <row r="270" spans="1:9" ht="19.5" customHeight="1" x14ac:dyDescent="0.3">
      <c r="A270" s="39" t="s">
        <v>685</v>
      </c>
      <c r="B270" s="32"/>
      <c r="C270" s="18" t="str">
        <f>IF(B270="","",IFERROR(VLOOKUP(B270,'👥 MEMBRES'!A:B,2,0),"?"))</f>
        <v/>
      </c>
      <c r="D270" s="18" t="str">
        <f>IF(B270="","",IFERROR(VLOOKUP(B270,'👥 MEMBRES'!A:C,3,0),"?"))</f>
        <v/>
      </c>
      <c r="E270" s="32"/>
      <c r="F270" s="32"/>
      <c r="G270" s="24" t="str">
        <f>IF(F270="","",IF(F270="Retard cotisation",'⚙️ PARAMÈTRES'!B8,IF(F270="Absence réunion",'⚙️ PARAMÈTRES'!B9,0)))</f>
        <v/>
      </c>
      <c r="H270" s="32"/>
      <c r="I270" s="23">
        <f t="shared" si="4"/>
        <v>0</v>
      </c>
    </row>
    <row r="271" spans="1:9" ht="19.5" customHeight="1" x14ac:dyDescent="0.3">
      <c r="A271" s="39" t="s">
        <v>686</v>
      </c>
      <c r="B271" s="36"/>
      <c r="C271" s="26" t="str">
        <f>IF(B271="","",IFERROR(VLOOKUP(B271,'👥 MEMBRES'!A:B,2,0),"?"))</f>
        <v/>
      </c>
      <c r="D271" s="26" t="str">
        <f>IF(B271="","",IFERROR(VLOOKUP(B271,'👥 MEMBRES'!A:C,3,0),"?"))</f>
        <v/>
      </c>
      <c r="E271" s="36"/>
      <c r="F271" s="36"/>
      <c r="G271" s="24" t="str">
        <f>IF(F271="","",IF(F271="Retard cotisation",'⚙️ PARAMÈTRES'!B8,IF(F271="Absence réunion",'⚙️ PARAMÈTRES'!B9,0)))</f>
        <v/>
      </c>
      <c r="H271" s="36"/>
      <c r="I271" s="23">
        <f t="shared" si="4"/>
        <v>0</v>
      </c>
    </row>
    <row r="272" spans="1:9" ht="19.5" customHeight="1" x14ac:dyDescent="0.3">
      <c r="A272" s="39" t="s">
        <v>687</v>
      </c>
      <c r="B272" s="32"/>
      <c r="C272" s="18" t="str">
        <f>IF(B272="","",IFERROR(VLOOKUP(B272,'👥 MEMBRES'!A:B,2,0),"?"))</f>
        <v/>
      </c>
      <c r="D272" s="18" t="str">
        <f>IF(B272="","",IFERROR(VLOOKUP(B272,'👥 MEMBRES'!A:C,3,0),"?"))</f>
        <v/>
      </c>
      <c r="E272" s="32"/>
      <c r="F272" s="32"/>
      <c r="G272" s="24" t="str">
        <f>IF(F272="","",IF(F272="Retard cotisation",'⚙️ PARAMÈTRES'!B8,IF(F272="Absence réunion",'⚙️ PARAMÈTRES'!B9,0)))</f>
        <v/>
      </c>
      <c r="H272" s="32"/>
      <c r="I272" s="23">
        <f t="shared" si="4"/>
        <v>0</v>
      </c>
    </row>
    <row r="273" spans="1:9" ht="19.5" customHeight="1" x14ac:dyDescent="0.3">
      <c r="A273" s="39" t="s">
        <v>688</v>
      </c>
      <c r="B273" s="36"/>
      <c r="C273" s="26" t="str">
        <f>IF(B273="","",IFERROR(VLOOKUP(B273,'👥 MEMBRES'!A:B,2,0),"?"))</f>
        <v/>
      </c>
      <c r="D273" s="26" t="str">
        <f>IF(B273="","",IFERROR(VLOOKUP(B273,'👥 MEMBRES'!A:C,3,0),"?"))</f>
        <v/>
      </c>
      <c r="E273" s="36"/>
      <c r="F273" s="36"/>
      <c r="G273" s="24" t="str">
        <f>IF(F273="","",IF(F273="Retard cotisation",'⚙️ PARAMÈTRES'!B8,IF(F273="Absence réunion",'⚙️ PARAMÈTRES'!B9,0)))</f>
        <v/>
      </c>
      <c r="H273" s="36"/>
      <c r="I273" s="23">
        <f t="shared" si="4"/>
        <v>0</v>
      </c>
    </row>
    <row r="274" spans="1:9" ht="19.5" customHeight="1" x14ac:dyDescent="0.3">
      <c r="A274" s="39" t="s">
        <v>689</v>
      </c>
      <c r="B274" s="32"/>
      <c r="C274" s="18" t="str">
        <f>IF(B274="","",IFERROR(VLOOKUP(B274,'👥 MEMBRES'!A:B,2,0),"?"))</f>
        <v/>
      </c>
      <c r="D274" s="18" t="str">
        <f>IF(B274="","",IFERROR(VLOOKUP(B274,'👥 MEMBRES'!A:C,3,0),"?"))</f>
        <v/>
      </c>
      <c r="E274" s="32"/>
      <c r="F274" s="32"/>
      <c r="G274" s="24" t="str">
        <f>IF(F274="","",IF(F274="Retard cotisation",'⚙️ PARAMÈTRES'!B8,IF(F274="Absence réunion",'⚙️ PARAMÈTRES'!B9,0)))</f>
        <v/>
      </c>
      <c r="H274" s="32"/>
      <c r="I274" s="23">
        <f t="shared" si="4"/>
        <v>0</v>
      </c>
    </row>
    <row r="275" spans="1:9" ht="19.5" customHeight="1" x14ac:dyDescent="0.3">
      <c r="A275" s="39" t="s">
        <v>690</v>
      </c>
      <c r="B275" s="36"/>
      <c r="C275" s="26" t="str">
        <f>IF(B275="","",IFERROR(VLOOKUP(B275,'👥 MEMBRES'!A:B,2,0),"?"))</f>
        <v/>
      </c>
      <c r="D275" s="26" t="str">
        <f>IF(B275="","",IFERROR(VLOOKUP(B275,'👥 MEMBRES'!A:C,3,0),"?"))</f>
        <v/>
      </c>
      <c r="E275" s="36"/>
      <c r="F275" s="36"/>
      <c r="G275" s="24" t="str">
        <f>IF(F275="","",IF(F275="Retard cotisation",'⚙️ PARAMÈTRES'!B8,IF(F275="Absence réunion",'⚙️ PARAMÈTRES'!B9,0)))</f>
        <v/>
      </c>
      <c r="H275" s="36"/>
      <c r="I275" s="23">
        <f t="shared" si="4"/>
        <v>0</v>
      </c>
    </row>
    <row r="276" spans="1:9" ht="19.5" customHeight="1" x14ac:dyDescent="0.3">
      <c r="A276" s="39" t="s">
        <v>691</v>
      </c>
      <c r="B276" s="32"/>
      <c r="C276" s="18" t="str">
        <f>IF(B276="","",IFERROR(VLOOKUP(B276,'👥 MEMBRES'!A:B,2,0),"?"))</f>
        <v/>
      </c>
      <c r="D276" s="18" t="str">
        <f>IF(B276="","",IFERROR(VLOOKUP(B276,'👥 MEMBRES'!A:C,3,0),"?"))</f>
        <v/>
      </c>
      <c r="E276" s="32"/>
      <c r="F276" s="32"/>
      <c r="G276" s="24" t="str">
        <f>IF(F276="","",IF(F276="Retard cotisation",'⚙️ PARAMÈTRES'!B8,IF(F276="Absence réunion",'⚙️ PARAMÈTRES'!B9,0)))</f>
        <v/>
      </c>
      <c r="H276" s="32"/>
      <c r="I276" s="23">
        <f t="shared" si="4"/>
        <v>0</v>
      </c>
    </row>
    <row r="277" spans="1:9" ht="19.5" customHeight="1" x14ac:dyDescent="0.3">
      <c r="A277" s="39" t="s">
        <v>692</v>
      </c>
      <c r="B277" s="36"/>
      <c r="C277" s="26" t="str">
        <f>IF(B277="","",IFERROR(VLOOKUP(B277,'👥 MEMBRES'!A:B,2,0),"?"))</f>
        <v/>
      </c>
      <c r="D277" s="26" t="str">
        <f>IF(B277="","",IFERROR(VLOOKUP(B277,'👥 MEMBRES'!A:C,3,0),"?"))</f>
        <v/>
      </c>
      <c r="E277" s="36"/>
      <c r="F277" s="36"/>
      <c r="G277" s="24" t="str">
        <f>IF(F277="","",IF(F277="Retard cotisation",'⚙️ PARAMÈTRES'!B8,IF(F277="Absence réunion",'⚙️ PARAMÈTRES'!B9,0)))</f>
        <v/>
      </c>
      <c r="H277" s="36"/>
      <c r="I277" s="23">
        <f t="shared" si="4"/>
        <v>0</v>
      </c>
    </row>
    <row r="278" spans="1:9" ht="19.5" customHeight="1" x14ac:dyDescent="0.3">
      <c r="A278" s="39" t="s">
        <v>693</v>
      </c>
      <c r="B278" s="32"/>
      <c r="C278" s="18" t="str">
        <f>IF(B278="","",IFERROR(VLOOKUP(B278,'👥 MEMBRES'!A:B,2,0),"?"))</f>
        <v/>
      </c>
      <c r="D278" s="18" t="str">
        <f>IF(B278="","",IFERROR(VLOOKUP(B278,'👥 MEMBRES'!A:C,3,0),"?"))</f>
        <v/>
      </c>
      <c r="E278" s="32"/>
      <c r="F278" s="32"/>
      <c r="G278" s="24" t="str">
        <f>IF(F278="","",IF(F278="Retard cotisation",'⚙️ PARAMÈTRES'!B8,IF(F278="Absence réunion",'⚙️ PARAMÈTRES'!B9,0)))</f>
        <v/>
      </c>
      <c r="H278" s="32"/>
      <c r="I278" s="23">
        <f t="shared" si="4"/>
        <v>0</v>
      </c>
    </row>
    <row r="279" spans="1:9" ht="19.5" customHeight="1" x14ac:dyDescent="0.3">
      <c r="A279" s="39" t="s">
        <v>694</v>
      </c>
      <c r="B279" s="36"/>
      <c r="C279" s="26" t="str">
        <f>IF(B279="","",IFERROR(VLOOKUP(B279,'👥 MEMBRES'!A:B,2,0),"?"))</f>
        <v/>
      </c>
      <c r="D279" s="26" t="str">
        <f>IF(B279="","",IFERROR(VLOOKUP(B279,'👥 MEMBRES'!A:C,3,0),"?"))</f>
        <v/>
      </c>
      <c r="E279" s="36"/>
      <c r="F279" s="36"/>
      <c r="G279" s="24" t="str">
        <f>IF(F279="","",IF(F279="Retard cotisation",'⚙️ PARAMÈTRES'!B8,IF(F279="Absence réunion",'⚙️ PARAMÈTRES'!B9,0)))</f>
        <v/>
      </c>
      <c r="H279" s="36"/>
      <c r="I279" s="23">
        <f t="shared" si="4"/>
        <v>0</v>
      </c>
    </row>
    <row r="280" spans="1:9" ht="19.5" customHeight="1" x14ac:dyDescent="0.3">
      <c r="A280" s="39" t="s">
        <v>695</v>
      </c>
      <c r="B280" s="32"/>
      <c r="C280" s="18" t="str">
        <f>IF(B280="","",IFERROR(VLOOKUP(B280,'👥 MEMBRES'!A:B,2,0),"?"))</f>
        <v/>
      </c>
      <c r="D280" s="18" t="str">
        <f>IF(B280="","",IFERROR(VLOOKUP(B280,'👥 MEMBRES'!A:C,3,0),"?"))</f>
        <v/>
      </c>
      <c r="E280" s="32"/>
      <c r="F280" s="32"/>
      <c r="G280" s="24" t="str">
        <f>IF(F280="","",IF(F280="Retard cotisation",'⚙️ PARAMÈTRES'!B8,IF(F280="Absence réunion",'⚙️ PARAMÈTRES'!B9,0)))</f>
        <v/>
      </c>
      <c r="H280" s="32"/>
      <c r="I280" s="23">
        <f t="shared" si="4"/>
        <v>0</v>
      </c>
    </row>
    <row r="281" spans="1:9" ht="19.5" customHeight="1" x14ac:dyDescent="0.3">
      <c r="A281" s="39" t="s">
        <v>696</v>
      </c>
      <c r="B281" s="36"/>
      <c r="C281" s="26" t="str">
        <f>IF(B281="","",IFERROR(VLOOKUP(B281,'👥 MEMBRES'!A:B,2,0),"?"))</f>
        <v/>
      </c>
      <c r="D281" s="26" t="str">
        <f>IF(B281="","",IFERROR(VLOOKUP(B281,'👥 MEMBRES'!A:C,3,0),"?"))</f>
        <v/>
      </c>
      <c r="E281" s="36"/>
      <c r="F281" s="36"/>
      <c r="G281" s="24" t="str">
        <f>IF(F281="","",IF(F281="Retard cotisation",'⚙️ PARAMÈTRES'!B8,IF(F281="Absence réunion",'⚙️ PARAMÈTRES'!B9,0)))</f>
        <v/>
      </c>
      <c r="H281" s="36"/>
      <c r="I281" s="23">
        <f t="shared" si="4"/>
        <v>0</v>
      </c>
    </row>
    <row r="282" spans="1:9" ht="19.5" customHeight="1" x14ac:dyDescent="0.3">
      <c r="A282" s="39" t="s">
        <v>697</v>
      </c>
      <c r="B282" s="32"/>
      <c r="C282" s="18" t="str">
        <f>IF(B282="","",IFERROR(VLOOKUP(B282,'👥 MEMBRES'!A:B,2,0),"?"))</f>
        <v/>
      </c>
      <c r="D282" s="18" t="str">
        <f>IF(B282="","",IFERROR(VLOOKUP(B282,'👥 MEMBRES'!A:C,3,0),"?"))</f>
        <v/>
      </c>
      <c r="E282" s="32"/>
      <c r="F282" s="32"/>
      <c r="G282" s="24" t="str">
        <f>IF(F282="","",IF(F282="Retard cotisation",'⚙️ PARAMÈTRES'!B8,IF(F282="Absence réunion",'⚙️ PARAMÈTRES'!B9,0)))</f>
        <v/>
      </c>
      <c r="H282" s="32"/>
      <c r="I282" s="23">
        <f t="shared" si="4"/>
        <v>0</v>
      </c>
    </row>
    <row r="283" spans="1:9" ht="19.5" customHeight="1" x14ac:dyDescent="0.3">
      <c r="A283" s="39" t="s">
        <v>698</v>
      </c>
      <c r="B283" s="36"/>
      <c r="C283" s="26" t="str">
        <f>IF(B283="","",IFERROR(VLOOKUP(B283,'👥 MEMBRES'!A:B,2,0),"?"))</f>
        <v/>
      </c>
      <c r="D283" s="26" t="str">
        <f>IF(B283="","",IFERROR(VLOOKUP(B283,'👥 MEMBRES'!A:C,3,0),"?"))</f>
        <v/>
      </c>
      <c r="E283" s="36"/>
      <c r="F283" s="36"/>
      <c r="G283" s="24" t="str">
        <f>IF(F283="","",IF(F283="Retard cotisation",'⚙️ PARAMÈTRES'!B8,IF(F283="Absence réunion",'⚙️ PARAMÈTRES'!B9,0)))</f>
        <v/>
      </c>
      <c r="H283" s="36"/>
      <c r="I283" s="23">
        <f t="shared" si="4"/>
        <v>0</v>
      </c>
    </row>
    <row r="284" spans="1:9" ht="19.5" customHeight="1" x14ac:dyDescent="0.3">
      <c r="A284" s="39" t="s">
        <v>699</v>
      </c>
      <c r="B284" s="32"/>
      <c r="C284" s="18" t="str">
        <f>IF(B284="","",IFERROR(VLOOKUP(B284,'👥 MEMBRES'!A:B,2,0),"?"))</f>
        <v/>
      </c>
      <c r="D284" s="18" t="str">
        <f>IF(B284="","",IFERROR(VLOOKUP(B284,'👥 MEMBRES'!A:C,3,0),"?"))</f>
        <v/>
      </c>
      <c r="E284" s="32"/>
      <c r="F284" s="32"/>
      <c r="G284" s="24" t="str">
        <f>IF(F284="","",IF(F284="Retard cotisation",'⚙️ PARAMÈTRES'!B8,IF(F284="Absence réunion",'⚙️ PARAMÈTRES'!B9,0)))</f>
        <v/>
      </c>
      <c r="H284" s="32"/>
      <c r="I284" s="23">
        <f t="shared" si="4"/>
        <v>0</v>
      </c>
    </row>
    <row r="285" spans="1:9" ht="19.5" customHeight="1" x14ac:dyDescent="0.3">
      <c r="A285" s="39" t="s">
        <v>700</v>
      </c>
      <c r="B285" s="36"/>
      <c r="C285" s="26" t="str">
        <f>IF(B285="","",IFERROR(VLOOKUP(B285,'👥 MEMBRES'!A:B,2,0),"?"))</f>
        <v/>
      </c>
      <c r="D285" s="26" t="str">
        <f>IF(B285="","",IFERROR(VLOOKUP(B285,'👥 MEMBRES'!A:C,3,0),"?"))</f>
        <v/>
      </c>
      <c r="E285" s="36"/>
      <c r="F285" s="36"/>
      <c r="G285" s="24" t="str">
        <f>IF(F285="","",IF(F285="Retard cotisation",'⚙️ PARAMÈTRES'!B8,IF(F285="Absence réunion",'⚙️ PARAMÈTRES'!B9,0)))</f>
        <v/>
      </c>
      <c r="H285" s="36"/>
      <c r="I285" s="23">
        <f t="shared" si="4"/>
        <v>0</v>
      </c>
    </row>
    <row r="286" spans="1:9" ht="19.5" customHeight="1" x14ac:dyDescent="0.3">
      <c r="A286" s="39" t="s">
        <v>701</v>
      </c>
      <c r="B286" s="32"/>
      <c r="C286" s="18" t="str">
        <f>IF(B286="","",IFERROR(VLOOKUP(B286,'👥 MEMBRES'!A:B,2,0),"?"))</f>
        <v/>
      </c>
      <c r="D286" s="18" t="str">
        <f>IF(B286="","",IFERROR(VLOOKUP(B286,'👥 MEMBRES'!A:C,3,0),"?"))</f>
        <v/>
      </c>
      <c r="E286" s="32"/>
      <c r="F286" s="32"/>
      <c r="G286" s="24" t="str">
        <f>IF(F286="","",IF(F286="Retard cotisation",'⚙️ PARAMÈTRES'!B8,IF(F286="Absence réunion",'⚙️ PARAMÈTRES'!B9,0)))</f>
        <v/>
      </c>
      <c r="H286" s="32"/>
      <c r="I286" s="23">
        <f t="shared" si="4"/>
        <v>0</v>
      </c>
    </row>
    <row r="287" spans="1:9" ht="19.5" customHeight="1" x14ac:dyDescent="0.3">
      <c r="A287" s="39" t="s">
        <v>702</v>
      </c>
      <c r="B287" s="36"/>
      <c r="C287" s="26" t="str">
        <f>IF(B287="","",IFERROR(VLOOKUP(B287,'👥 MEMBRES'!A:B,2,0),"?"))</f>
        <v/>
      </c>
      <c r="D287" s="26" t="str">
        <f>IF(B287="","",IFERROR(VLOOKUP(B287,'👥 MEMBRES'!A:C,3,0),"?"))</f>
        <v/>
      </c>
      <c r="E287" s="36"/>
      <c r="F287" s="36"/>
      <c r="G287" s="24" t="str">
        <f>IF(F287="","",IF(F287="Retard cotisation",'⚙️ PARAMÈTRES'!B8,IF(F287="Absence réunion",'⚙️ PARAMÈTRES'!B9,0)))</f>
        <v/>
      </c>
      <c r="H287" s="36"/>
      <c r="I287" s="23">
        <f t="shared" si="4"/>
        <v>0</v>
      </c>
    </row>
    <row r="288" spans="1:9" ht="19.5" customHeight="1" x14ac:dyDescent="0.3">
      <c r="A288" s="39" t="s">
        <v>703</v>
      </c>
      <c r="B288" s="32"/>
      <c r="C288" s="18" t="str">
        <f>IF(B288="","",IFERROR(VLOOKUP(B288,'👥 MEMBRES'!A:B,2,0),"?"))</f>
        <v/>
      </c>
      <c r="D288" s="18" t="str">
        <f>IF(B288="","",IFERROR(VLOOKUP(B288,'👥 MEMBRES'!A:C,3,0),"?"))</f>
        <v/>
      </c>
      <c r="E288" s="32"/>
      <c r="F288" s="32"/>
      <c r="G288" s="24" t="str">
        <f>IF(F288="","",IF(F288="Retard cotisation",'⚙️ PARAMÈTRES'!B8,IF(F288="Absence réunion",'⚙️ PARAMÈTRES'!B9,0)))</f>
        <v/>
      </c>
      <c r="H288" s="32"/>
      <c r="I288" s="23">
        <f t="shared" si="4"/>
        <v>0</v>
      </c>
    </row>
    <row r="289" spans="1:9" ht="19.5" customHeight="1" x14ac:dyDescent="0.3">
      <c r="A289" s="39" t="s">
        <v>704</v>
      </c>
      <c r="B289" s="36"/>
      <c r="C289" s="26" t="str">
        <f>IF(B289="","",IFERROR(VLOOKUP(B289,'👥 MEMBRES'!A:B,2,0),"?"))</f>
        <v/>
      </c>
      <c r="D289" s="26" t="str">
        <f>IF(B289="","",IFERROR(VLOOKUP(B289,'👥 MEMBRES'!A:C,3,0),"?"))</f>
        <v/>
      </c>
      <c r="E289" s="36"/>
      <c r="F289" s="36"/>
      <c r="G289" s="24" t="str">
        <f>IF(F289="","",IF(F289="Retard cotisation",'⚙️ PARAMÈTRES'!B8,IF(F289="Absence réunion",'⚙️ PARAMÈTRES'!B9,0)))</f>
        <v/>
      </c>
      <c r="H289" s="36"/>
      <c r="I289" s="23">
        <f t="shared" si="4"/>
        <v>0</v>
      </c>
    </row>
    <row r="290" spans="1:9" ht="19.5" customHeight="1" x14ac:dyDescent="0.3">
      <c r="A290" s="39" t="s">
        <v>705</v>
      </c>
      <c r="B290" s="32"/>
      <c r="C290" s="18" t="str">
        <f>IF(B290="","",IFERROR(VLOOKUP(B290,'👥 MEMBRES'!A:B,2,0),"?"))</f>
        <v/>
      </c>
      <c r="D290" s="18" t="str">
        <f>IF(B290="","",IFERROR(VLOOKUP(B290,'👥 MEMBRES'!A:C,3,0),"?"))</f>
        <v/>
      </c>
      <c r="E290" s="32"/>
      <c r="F290" s="32"/>
      <c r="G290" s="24" t="str">
        <f>IF(F290="","",IF(F290="Retard cotisation",'⚙️ PARAMÈTRES'!B8,IF(F290="Absence réunion",'⚙️ PARAMÈTRES'!B9,0)))</f>
        <v/>
      </c>
      <c r="H290" s="32"/>
      <c r="I290" s="23">
        <f t="shared" si="4"/>
        <v>0</v>
      </c>
    </row>
    <row r="291" spans="1:9" ht="19.5" customHeight="1" x14ac:dyDescent="0.3">
      <c r="A291" s="39" t="s">
        <v>706</v>
      </c>
      <c r="B291" s="36"/>
      <c r="C291" s="26" t="str">
        <f>IF(B291="","",IFERROR(VLOOKUP(B291,'👥 MEMBRES'!A:B,2,0),"?"))</f>
        <v/>
      </c>
      <c r="D291" s="26" t="str">
        <f>IF(B291="","",IFERROR(VLOOKUP(B291,'👥 MEMBRES'!A:C,3,0),"?"))</f>
        <v/>
      </c>
      <c r="E291" s="36"/>
      <c r="F291" s="36"/>
      <c r="G291" s="24" t="str">
        <f>IF(F291="","",IF(F291="Retard cotisation",'⚙️ PARAMÈTRES'!B8,IF(F291="Absence réunion",'⚙️ PARAMÈTRES'!B9,0)))</f>
        <v/>
      </c>
      <c r="H291" s="36"/>
      <c r="I291" s="23">
        <f t="shared" si="4"/>
        <v>0</v>
      </c>
    </row>
    <row r="292" spans="1:9" ht="19.5" customHeight="1" x14ac:dyDescent="0.3">
      <c r="A292" s="39" t="s">
        <v>707</v>
      </c>
      <c r="B292" s="32"/>
      <c r="C292" s="18" t="str">
        <f>IF(B292="","",IFERROR(VLOOKUP(B292,'👥 MEMBRES'!A:B,2,0),"?"))</f>
        <v/>
      </c>
      <c r="D292" s="18" t="str">
        <f>IF(B292="","",IFERROR(VLOOKUP(B292,'👥 MEMBRES'!A:C,3,0),"?"))</f>
        <v/>
      </c>
      <c r="E292" s="32"/>
      <c r="F292" s="32"/>
      <c r="G292" s="24" t="str">
        <f>IF(F292="","",IF(F292="Retard cotisation",'⚙️ PARAMÈTRES'!B8,IF(F292="Absence réunion",'⚙️ PARAMÈTRES'!B9,0)))</f>
        <v/>
      </c>
      <c r="H292" s="32"/>
      <c r="I292" s="23">
        <f t="shared" si="4"/>
        <v>0</v>
      </c>
    </row>
    <row r="293" spans="1:9" ht="19.5" customHeight="1" x14ac:dyDescent="0.3">
      <c r="A293" s="39" t="s">
        <v>708</v>
      </c>
      <c r="B293" s="36"/>
      <c r="C293" s="26" t="str">
        <f>IF(B293="","",IFERROR(VLOOKUP(B293,'👥 MEMBRES'!A:B,2,0),"?"))</f>
        <v/>
      </c>
      <c r="D293" s="26" t="str">
        <f>IF(B293="","",IFERROR(VLOOKUP(B293,'👥 MEMBRES'!A:C,3,0),"?"))</f>
        <v/>
      </c>
      <c r="E293" s="36"/>
      <c r="F293" s="36"/>
      <c r="G293" s="24" t="str">
        <f>IF(F293="","",IF(F293="Retard cotisation",'⚙️ PARAMÈTRES'!B8,IF(F293="Absence réunion",'⚙️ PARAMÈTRES'!B9,0)))</f>
        <v/>
      </c>
      <c r="H293" s="36"/>
      <c r="I293" s="23">
        <f t="shared" si="4"/>
        <v>0</v>
      </c>
    </row>
    <row r="294" spans="1:9" ht="19.5" customHeight="1" x14ac:dyDescent="0.3">
      <c r="A294" s="39" t="s">
        <v>709</v>
      </c>
      <c r="B294" s="32"/>
      <c r="C294" s="18" t="str">
        <f>IF(B294="","",IFERROR(VLOOKUP(B294,'👥 MEMBRES'!A:B,2,0),"?"))</f>
        <v/>
      </c>
      <c r="D294" s="18" t="str">
        <f>IF(B294="","",IFERROR(VLOOKUP(B294,'👥 MEMBRES'!A:C,3,0),"?"))</f>
        <v/>
      </c>
      <c r="E294" s="32"/>
      <c r="F294" s="32"/>
      <c r="G294" s="24" t="str">
        <f>IF(F294="","",IF(F294="Retard cotisation",'⚙️ PARAMÈTRES'!B8,IF(F294="Absence réunion",'⚙️ PARAMÈTRES'!B9,0)))</f>
        <v/>
      </c>
      <c r="H294" s="32"/>
      <c r="I294" s="23">
        <f t="shared" si="4"/>
        <v>0</v>
      </c>
    </row>
    <row r="295" spans="1:9" ht="19.5" customHeight="1" x14ac:dyDescent="0.3">
      <c r="A295" s="39" t="s">
        <v>710</v>
      </c>
      <c r="B295" s="36"/>
      <c r="C295" s="26" t="str">
        <f>IF(B295="","",IFERROR(VLOOKUP(B295,'👥 MEMBRES'!A:B,2,0),"?"))</f>
        <v/>
      </c>
      <c r="D295" s="26" t="str">
        <f>IF(B295="","",IFERROR(VLOOKUP(B295,'👥 MEMBRES'!A:C,3,0),"?"))</f>
        <v/>
      </c>
      <c r="E295" s="36"/>
      <c r="F295" s="36"/>
      <c r="G295" s="24" t="str">
        <f>IF(F295="","",IF(F295="Retard cotisation",'⚙️ PARAMÈTRES'!B8,IF(F295="Absence réunion",'⚙️ PARAMÈTRES'!B9,0)))</f>
        <v/>
      </c>
      <c r="H295" s="36"/>
      <c r="I295" s="23">
        <f t="shared" si="4"/>
        <v>0</v>
      </c>
    </row>
    <row r="296" spans="1:9" ht="19.5" customHeight="1" x14ac:dyDescent="0.3">
      <c r="A296" s="39" t="s">
        <v>711</v>
      </c>
      <c r="B296" s="32"/>
      <c r="C296" s="18" t="str">
        <f>IF(B296="","",IFERROR(VLOOKUP(B296,'👥 MEMBRES'!A:B,2,0),"?"))</f>
        <v/>
      </c>
      <c r="D296" s="18" t="str">
        <f>IF(B296="","",IFERROR(VLOOKUP(B296,'👥 MEMBRES'!A:C,3,0),"?"))</f>
        <v/>
      </c>
      <c r="E296" s="32"/>
      <c r="F296" s="32"/>
      <c r="G296" s="24" t="str">
        <f>IF(F296="","",IF(F296="Retard cotisation",'⚙️ PARAMÈTRES'!B8,IF(F296="Absence réunion",'⚙️ PARAMÈTRES'!B9,0)))</f>
        <v/>
      </c>
      <c r="H296" s="32"/>
      <c r="I296" s="23">
        <f t="shared" si="4"/>
        <v>0</v>
      </c>
    </row>
    <row r="297" spans="1:9" ht="19.5" customHeight="1" x14ac:dyDescent="0.3">
      <c r="A297" s="39" t="s">
        <v>712</v>
      </c>
      <c r="B297" s="36"/>
      <c r="C297" s="26" t="str">
        <f>IF(B297="","",IFERROR(VLOOKUP(B297,'👥 MEMBRES'!A:B,2,0),"?"))</f>
        <v/>
      </c>
      <c r="D297" s="26" t="str">
        <f>IF(B297="","",IFERROR(VLOOKUP(B297,'👥 MEMBRES'!A:C,3,0),"?"))</f>
        <v/>
      </c>
      <c r="E297" s="36"/>
      <c r="F297" s="36"/>
      <c r="G297" s="24" t="str">
        <f>IF(F297="","",IF(F297="Retard cotisation",'⚙️ PARAMÈTRES'!B8,IF(F297="Absence réunion",'⚙️ PARAMÈTRES'!B9,0)))</f>
        <v/>
      </c>
      <c r="H297" s="36"/>
      <c r="I297" s="23">
        <f t="shared" si="4"/>
        <v>0</v>
      </c>
    </row>
    <row r="298" spans="1:9" ht="19.5" customHeight="1" x14ac:dyDescent="0.3">
      <c r="A298" s="39" t="s">
        <v>713</v>
      </c>
      <c r="B298" s="32"/>
      <c r="C298" s="18" t="str">
        <f>IF(B298="","",IFERROR(VLOOKUP(B298,'👥 MEMBRES'!A:B,2,0),"?"))</f>
        <v/>
      </c>
      <c r="D298" s="18" t="str">
        <f>IF(B298="","",IFERROR(VLOOKUP(B298,'👥 MEMBRES'!A:C,3,0),"?"))</f>
        <v/>
      </c>
      <c r="E298" s="32"/>
      <c r="F298" s="32"/>
      <c r="G298" s="24" t="str">
        <f>IF(F298="","",IF(F298="Retard cotisation",'⚙️ PARAMÈTRES'!B8,IF(F298="Absence réunion",'⚙️ PARAMÈTRES'!B9,0)))</f>
        <v/>
      </c>
      <c r="H298" s="32"/>
      <c r="I298" s="23">
        <f t="shared" si="4"/>
        <v>0</v>
      </c>
    </row>
    <row r="299" spans="1:9" ht="19.5" customHeight="1" x14ac:dyDescent="0.3">
      <c r="A299" s="39" t="s">
        <v>714</v>
      </c>
      <c r="B299" s="36"/>
      <c r="C299" s="26" t="str">
        <f>IF(B299="","",IFERROR(VLOOKUP(B299,'👥 MEMBRES'!A:B,2,0),"?"))</f>
        <v/>
      </c>
      <c r="D299" s="26" t="str">
        <f>IF(B299="","",IFERROR(VLOOKUP(B299,'👥 MEMBRES'!A:C,3,0),"?"))</f>
        <v/>
      </c>
      <c r="E299" s="36"/>
      <c r="F299" s="36"/>
      <c r="G299" s="24" t="str">
        <f>IF(F299="","",IF(F299="Retard cotisation",'⚙️ PARAMÈTRES'!B8,IF(F299="Absence réunion",'⚙️ PARAMÈTRES'!B9,0)))</f>
        <v/>
      </c>
      <c r="H299" s="36"/>
      <c r="I299" s="23">
        <f t="shared" si="4"/>
        <v>0</v>
      </c>
    </row>
    <row r="300" spans="1:9" ht="19.5" customHeight="1" x14ac:dyDescent="0.3">
      <c r="A300" s="39" t="s">
        <v>715</v>
      </c>
      <c r="B300" s="32"/>
      <c r="C300" s="18" t="str">
        <f>IF(B300="","",IFERROR(VLOOKUP(B300,'👥 MEMBRES'!A:B,2,0),"?"))</f>
        <v/>
      </c>
      <c r="D300" s="18" t="str">
        <f>IF(B300="","",IFERROR(VLOOKUP(B300,'👥 MEMBRES'!A:C,3,0),"?"))</f>
        <v/>
      </c>
      <c r="E300" s="32"/>
      <c r="F300" s="32"/>
      <c r="G300" s="24" t="str">
        <f>IF(F300="","",IF(F300="Retard cotisation",'⚙️ PARAMÈTRES'!B8,IF(F300="Absence réunion",'⚙️ PARAMÈTRES'!B9,0)))</f>
        <v/>
      </c>
      <c r="H300" s="32"/>
      <c r="I300" s="23">
        <f t="shared" si="4"/>
        <v>0</v>
      </c>
    </row>
    <row r="301" spans="1:9" ht="19.5" customHeight="1" x14ac:dyDescent="0.3">
      <c r="A301" s="39" t="s">
        <v>716</v>
      </c>
      <c r="B301" s="36"/>
      <c r="C301" s="26" t="str">
        <f>IF(B301="","",IFERROR(VLOOKUP(B301,'👥 MEMBRES'!A:B,2,0),"?"))</f>
        <v/>
      </c>
      <c r="D301" s="26" t="str">
        <f>IF(B301="","",IFERROR(VLOOKUP(B301,'👥 MEMBRES'!A:C,3,0),"?"))</f>
        <v/>
      </c>
      <c r="E301" s="36"/>
      <c r="F301" s="36"/>
      <c r="G301" s="24" t="str">
        <f>IF(F301="","",IF(F301="Retard cotisation",'⚙️ PARAMÈTRES'!B8,IF(F301="Absence réunion",'⚙️ PARAMÈTRES'!B9,0)))</f>
        <v/>
      </c>
      <c r="H301" s="36"/>
      <c r="I301" s="23">
        <f t="shared" si="4"/>
        <v>0</v>
      </c>
    </row>
    <row r="302" spans="1:9" ht="19.5" customHeight="1" x14ac:dyDescent="0.3">
      <c r="A302" s="39" t="s">
        <v>717</v>
      </c>
      <c r="B302" s="32"/>
      <c r="C302" s="18" t="str">
        <f>IF(B302="","",IFERROR(VLOOKUP(B302,'👥 MEMBRES'!A:B,2,0),"?"))</f>
        <v/>
      </c>
      <c r="D302" s="18" t="str">
        <f>IF(B302="","",IFERROR(VLOOKUP(B302,'👥 MEMBRES'!A:C,3,0),"?"))</f>
        <v/>
      </c>
      <c r="E302" s="32"/>
      <c r="F302" s="32"/>
      <c r="G302" s="24" t="str">
        <f>IF(F302="","",IF(F302="Retard cotisation",'⚙️ PARAMÈTRES'!B8,IF(F302="Absence réunion",'⚙️ PARAMÈTRES'!B9,0)))</f>
        <v/>
      </c>
      <c r="H302" s="32"/>
      <c r="I302" s="23">
        <f t="shared" si="4"/>
        <v>0</v>
      </c>
    </row>
    <row r="303" spans="1:9" ht="19.5" customHeight="1" x14ac:dyDescent="0.3">
      <c r="A303" s="39" t="s">
        <v>718</v>
      </c>
      <c r="B303" s="36"/>
      <c r="C303" s="26" t="str">
        <f>IF(B303="","",IFERROR(VLOOKUP(B303,'👥 MEMBRES'!A:B,2,0),"?"))</f>
        <v/>
      </c>
      <c r="D303" s="26" t="str">
        <f>IF(B303="","",IFERROR(VLOOKUP(B303,'👥 MEMBRES'!A:C,3,0),"?"))</f>
        <v/>
      </c>
      <c r="E303" s="36"/>
      <c r="F303" s="36"/>
      <c r="G303" s="24" t="str">
        <f>IF(F303="","",IF(F303="Retard cotisation",'⚙️ PARAMÈTRES'!B8,IF(F303="Absence réunion",'⚙️ PARAMÈTRES'!B9,0)))</f>
        <v/>
      </c>
      <c r="H303" s="36"/>
      <c r="I303" s="23">
        <f t="shared" si="4"/>
        <v>0</v>
      </c>
    </row>
    <row r="304" spans="1:9" ht="15" customHeight="1" x14ac:dyDescent="0.3">
      <c r="A304" s="119" t="s">
        <v>719</v>
      </c>
      <c r="B304" s="119"/>
      <c r="C304" s="119"/>
      <c r="D304" s="119"/>
      <c r="E304" s="119"/>
      <c r="F304" s="119"/>
      <c r="G304" s="40">
        <f>SUM(G4:G303)</f>
        <v>0</v>
      </c>
      <c r="H304" s="31"/>
      <c r="I304" s="40">
        <f>SUM(I4:I303)</f>
        <v>0</v>
      </c>
    </row>
  </sheetData>
  <mergeCells count="3">
    <mergeCell ref="A1:I1"/>
    <mergeCell ref="A2:I2"/>
    <mergeCell ref="A304:F304"/>
  </mergeCells>
  <dataValidations count="2">
    <dataValidation type="list" sqref="H4:H303" xr:uid="{00000000-0002-0000-0600-000000000000}">
      <formula1>"Oui,Non,Partiel"</formula1>
      <formula2>0</formula2>
    </dataValidation>
    <dataValidation type="list" sqref="F4:F303" xr:uid="{00000000-0002-0000-0600-000001000000}">
      <formula1>"Retard cotisation,Absence réunion,Retard remboursement,Autre"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J503"/>
  <sheetViews>
    <sheetView showGridLines="0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D15" sqref="D15"/>
    </sheetView>
  </sheetViews>
  <sheetFormatPr baseColWidth="10" defaultColWidth="8.6640625" defaultRowHeight="14.4" x14ac:dyDescent="0.3"/>
  <cols>
    <col min="1" max="1" width="13.5546875" customWidth="1"/>
    <col min="2" max="2" width="13" customWidth="1"/>
    <col min="3" max="3" width="12" customWidth="1"/>
    <col min="4" max="4" width="36" customWidth="1"/>
    <col min="5" max="6" width="14" customWidth="1"/>
    <col min="7" max="7" width="15" customWidth="1"/>
    <col min="8" max="9" width="16" customWidth="1"/>
    <col min="10" max="10" width="14" customWidth="1"/>
  </cols>
  <sheetData>
    <row r="1" spans="1:10" ht="31.5" customHeight="1" x14ac:dyDescent="0.3">
      <c r="A1" s="101" t="s">
        <v>720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24" customHeight="1" x14ac:dyDescent="0.3">
      <c r="A2" s="120" t="s">
        <v>721</v>
      </c>
      <c r="B2" s="120"/>
      <c r="C2" s="120"/>
      <c r="D2" s="41">
        <v>0</v>
      </c>
      <c r="E2" s="121" t="s">
        <v>722</v>
      </c>
      <c r="F2" s="121"/>
      <c r="G2" s="121"/>
      <c r="H2" s="121"/>
      <c r="I2" s="121"/>
      <c r="J2" s="121"/>
    </row>
    <row r="3" spans="1:10" ht="36" customHeight="1" x14ac:dyDescent="0.3">
      <c r="A3" s="1" t="s">
        <v>723</v>
      </c>
      <c r="B3" s="1" t="s">
        <v>414</v>
      </c>
      <c r="C3" s="1" t="s">
        <v>724</v>
      </c>
      <c r="D3" s="1" t="s">
        <v>12</v>
      </c>
      <c r="E3" s="1" t="s">
        <v>725</v>
      </c>
      <c r="F3" s="1" t="s">
        <v>726</v>
      </c>
      <c r="G3" s="1" t="s">
        <v>727</v>
      </c>
      <c r="H3" s="1" t="s">
        <v>728</v>
      </c>
      <c r="I3" s="1" t="s">
        <v>729</v>
      </c>
      <c r="J3" s="1" t="s">
        <v>210</v>
      </c>
    </row>
    <row r="4" spans="1:10" ht="19.5" customHeight="1" x14ac:dyDescent="0.3">
      <c r="A4" s="38" t="s">
        <v>730</v>
      </c>
      <c r="B4" s="32"/>
      <c r="C4" s="32"/>
      <c r="D4" s="32"/>
      <c r="E4" s="32"/>
      <c r="F4" s="32"/>
      <c r="G4" s="34">
        <f>D2+E4-F4</f>
        <v>0</v>
      </c>
      <c r="H4" s="32"/>
      <c r="I4" s="32"/>
      <c r="J4" s="32"/>
    </row>
    <row r="5" spans="1:10" ht="19.5" customHeight="1" x14ac:dyDescent="0.3">
      <c r="A5" s="38" t="s">
        <v>731</v>
      </c>
      <c r="B5" s="36"/>
      <c r="C5" s="36"/>
      <c r="D5" s="36"/>
      <c r="E5" s="36"/>
      <c r="F5" s="36"/>
      <c r="G5" s="34">
        <f t="shared" ref="G5:G68" si="0">G4+E5-F5</f>
        <v>0</v>
      </c>
      <c r="H5" s="36"/>
      <c r="I5" s="36"/>
      <c r="J5" s="36"/>
    </row>
    <row r="6" spans="1:10" ht="19.5" customHeight="1" x14ac:dyDescent="0.3">
      <c r="A6" s="38" t="s">
        <v>732</v>
      </c>
      <c r="B6" s="32"/>
      <c r="C6" s="32"/>
      <c r="D6" s="32"/>
      <c r="E6" s="32"/>
      <c r="F6" s="32"/>
      <c r="G6" s="34">
        <f t="shared" si="0"/>
        <v>0</v>
      </c>
      <c r="H6" s="32"/>
      <c r="I6" s="32"/>
      <c r="J6" s="32"/>
    </row>
    <row r="7" spans="1:10" ht="19.5" customHeight="1" x14ac:dyDescent="0.3">
      <c r="A7" s="38" t="s">
        <v>733</v>
      </c>
      <c r="B7" s="36"/>
      <c r="C7" s="36"/>
      <c r="D7" s="36"/>
      <c r="E7" s="36"/>
      <c r="F7" s="36"/>
      <c r="G7" s="34">
        <f t="shared" si="0"/>
        <v>0</v>
      </c>
      <c r="H7" s="36"/>
      <c r="I7" s="36"/>
      <c r="J7" s="36"/>
    </row>
    <row r="8" spans="1:10" ht="19.5" customHeight="1" x14ac:dyDescent="0.3">
      <c r="A8" s="38" t="s">
        <v>734</v>
      </c>
      <c r="B8" s="32"/>
      <c r="C8" s="32"/>
      <c r="D8" s="32"/>
      <c r="E8" s="32"/>
      <c r="F8" s="32"/>
      <c r="G8" s="34">
        <f t="shared" si="0"/>
        <v>0</v>
      </c>
      <c r="H8" s="32"/>
      <c r="I8" s="32"/>
      <c r="J8" s="32"/>
    </row>
    <row r="9" spans="1:10" ht="19.5" customHeight="1" x14ac:dyDescent="0.3">
      <c r="A9" s="38" t="s">
        <v>735</v>
      </c>
      <c r="B9" s="36"/>
      <c r="C9" s="36"/>
      <c r="D9" s="36"/>
      <c r="E9" s="36"/>
      <c r="F9" s="36"/>
      <c r="G9" s="34">
        <f t="shared" si="0"/>
        <v>0</v>
      </c>
      <c r="H9" s="36"/>
      <c r="I9" s="36"/>
      <c r="J9" s="36"/>
    </row>
    <row r="10" spans="1:10" ht="19.5" customHeight="1" x14ac:dyDescent="0.3">
      <c r="A10" s="38" t="s">
        <v>736</v>
      </c>
      <c r="B10" s="32"/>
      <c r="C10" s="32"/>
      <c r="D10" s="32"/>
      <c r="E10" s="32"/>
      <c r="F10" s="32"/>
      <c r="G10" s="34">
        <f t="shared" si="0"/>
        <v>0</v>
      </c>
      <c r="H10" s="32"/>
      <c r="I10" s="32"/>
      <c r="J10" s="32"/>
    </row>
    <row r="11" spans="1:10" ht="19.5" customHeight="1" x14ac:dyDescent="0.3">
      <c r="A11" s="38" t="s">
        <v>737</v>
      </c>
      <c r="B11" s="36"/>
      <c r="C11" s="36"/>
      <c r="D11" s="36"/>
      <c r="E11" s="36"/>
      <c r="F11" s="36"/>
      <c r="G11" s="34">
        <f t="shared" si="0"/>
        <v>0</v>
      </c>
      <c r="H11" s="36"/>
      <c r="I11" s="36"/>
      <c r="J11" s="36"/>
    </row>
    <row r="12" spans="1:10" ht="19.5" customHeight="1" x14ac:dyDescent="0.3">
      <c r="A12" s="38" t="s">
        <v>738</v>
      </c>
      <c r="B12" s="32"/>
      <c r="C12" s="32"/>
      <c r="D12" s="32"/>
      <c r="E12" s="32"/>
      <c r="F12" s="32"/>
      <c r="G12" s="34">
        <f t="shared" si="0"/>
        <v>0</v>
      </c>
      <c r="H12" s="32"/>
      <c r="I12" s="32"/>
      <c r="J12" s="32"/>
    </row>
    <row r="13" spans="1:10" ht="19.5" customHeight="1" x14ac:dyDescent="0.3">
      <c r="A13" s="38" t="s">
        <v>739</v>
      </c>
      <c r="B13" s="36"/>
      <c r="C13" s="36"/>
      <c r="D13" s="36"/>
      <c r="E13" s="36"/>
      <c r="F13" s="36"/>
      <c r="G13" s="34">
        <f t="shared" si="0"/>
        <v>0</v>
      </c>
      <c r="H13" s="36"/>
      <c r="I13" s="36"/>
      <c r="J13" s="36"/>
    </row>
    <row r="14" spans="1:10" ht="19.5" customHeight="1" x14ac:dyDescent="0.3">
      <c r="A14" s="38" t="s">
        <v>740</v>
      </c>
      <c r="B14" s="32"/>
      <c r="C14" s="32"/>
      <c r="D14" s="32"/>
      <c r="E14" s="32"/>
      <c r="F14" s="32"/>
      <c r="G14" s="34">
        <f t="shared" si="0"/>
        <v>0</v>
      </c>
      <c r="H14" s="32"/>
      <c r="I14" s="32"/>
      <c r="J14" s="32"/>
    </row>
    <row r="15" spans="1:10" ht="19.5" customHeight="1" x14ac:dyDescent="0.3">
      <c r="A15" s="38" t="s">
        <v>741</v>
      </c>
      <c r="B15" s="36"/>
      <c r="C15" s="36"/>
      <c r="D15" s="36"/>
      <c r="E15" s="36"/>
      <c r="F15" s="36"/>
      <c r="G15" s="34">
        <f t="shared" si="0"/>
        <v>0</v>
      </c>
      <c r="H15" s="36"/>
      <c r="I15" s="36"/>
      <c r="J15" s="36"/>
    </row>
    <row r="16" spans="1:10" ht="19.5" customHeight="1" x14ac:dyDescent="0.3">
      <c r="A16" s="38" t="s">
        <v>742</v>
      </c>
      <c r="B16" s="32"/>
      <c r="C16" s="32"/>
      <c r="D16" s="32"/>
      <c r="E16" s="32"/>
      <c r="F16" s="32"/>
      <c r="G16" s="34">
        <f t="shared" si="0"/>
        <v>0</v>
      </c>
      <c r="H16" s="32"/>
      <c r="I16" s="32"/>
      <c r="J16" s="32"/>
    </row>
    <row r="17" spans="1:10" ht="19.5" customHeight="1" x14ac:dyDescent="0.3">
      <c r="A17" s="38" t="s">
        <v>743</v>
      </c>
      <c r="B17" s="36"/>
      <c r="C17" s="36"/>
      <c r="D17" s="36"/>
      <c r="E17" s="36"/>
      <c r="F17" s="36"/>
      <c r="G17" s="34">
        <f t="shared" si="0"/>
        <v>0</v>
      </c>
      <c r="H17" s="36"/>
      <c r="I17" s="36"/>
      <c r="J17" s="36"/>
    </row>
    <row r="18" spans="1:10" ht="19.5" customHeight="1" x14ac:dyDescent="0.3">
      <c r="A18" s="38" t="s">
        <v>744</v>
      </c>
      <c r="B18" s="32"/>
      <c r="C18" s="32"/>
      <c r="D18" s="32"/>
      <c r="E18" s="32"/>
      <c r="F18" s="32"/>
      <c r="G18" s="34">
        <f t="shared" si="0"/>
        <v>0</v>
      </c>
      <c r="H18" s="32"/>
      <c r="I18" s="32"/>
      <c r="J18" s="32"/>
    </row>
    <row r="19" spans="1:10" ht="19.5" customHeight="1" x14ac:dyDescent="0.3">
      <c r="A19" s="38" t="s">
        <v>745</v>
      </c>
      <c r="B19" s="36"/>
      <c r="C19" s="36"/>
      <c r="D19" s="36"/>
      <c r="E19" s="36"/>
      <c r="F19" s="36"/>
      <c r="G19" s="34">
        <f t="shared" si="0"/>
        <v>0</v>
      </c>
      <c r="H19" s="36"/>
      <c r="I19" s="36"/>
      <c r="J19" s="36"/>
    </row>
    <row r="20" spans="1:10" ht="19.5" customHeight="1" x14ac:dyDescent="0.3">
      <c r="A20" s="38" t="s">
        <v>746</v>
      </c>
      <c r="B20" s="32"/>
      <c r="C20" s="32"/>
      <c r="D20" s="32"/>
      <c r="E20" s="32"/>
      <c r="F20" s="32"/>
      <c r="G20" s="34">
        <f t="shared" si="0"/>
        <v>0</v>
      </c>
      <c r="H20" s="32"/>
      <c r="I20" s="32"/>
      <c r="J20" s="32"/>
    </row>
    <row r="21" spans="1:10" ht="19.5" customHeight="1" x14ac:dyDescent="0.3">
      <c r="A21" s="38" t="s">
        <v>747</v>
      </c>
      <c r="B21" s="36"/>
      <c r="C21" s="36"/>
      <c r="D21" s="36"/>
      <c r="E21" s="36"/>
      <c r="F21" s="36"/>
      <c r="G21" s="34">
        <f t="shared" si="0"/>
        <v>0</v>
      </c>
      <c r="H21" s="36"/>
      <c r="I21" s="36"/>
      <c r="J21" s="36"/>
    </row>
    <row r="22" spans="1:10" ht="19.5" customHeight="1" x14ac:dyDescent="0.3">
      <c r="A22" s="38" t="s">
        <v>748</v>
      </c>
      <c r="B22" s="32"/>
      <c r="C22" s="32"/>
      <c r="D22" s="32"/>
      <c r="E22" s="32"/>
      <c r="F22" s="32"/>
      <c r="G22" s="34">
        <f t="shared" si="0"/>
        <v>0</v>
      </c>
      <c r="H22" s="32"/>
      <c r="I22" s="32"/>
      <c r="J22" s="32"/>
    </row>
    <row r="23" spans="1:10" ht="19.5" customHeight="1" x14ac:dyDescent="0.3">
      <c r="A23" s="38" t="s">
        <v>749</v>
      </c>
      <c r="B23" s="36"/>
      <c r="C23" s="36"/>
      <c r="D23" s="36"/>
      <c r="E23" s="36"/>
      <c r="F23" s="36"/>
      <c r="G23" s="34">
        <f t="shared" si="0"/>
        <v>0</v>
      </c>
      <c r="H23" s="36"/>
      <c r="I23" s="36"/>
      <c r="J23" s="36"/>
    </row>
    <row r="24" spans="1:10" ht="19.5" customHeight="1" x14ac:dyDescent="0.3">
      <c r="A24" s="38" t="s">
        <v>750</v>
      </c>
      <c r="B24" s="32"/>
      <c r="C24" s="32"/>
      <c r="D24" s="32"/>
      <c r="E24" s="32"/>
      <c r="F24" s="32"/>
      <c r="G24" s="34">
        <f t="shared" si="0"/>
        <v>0</v>
      </c>
      <c r="H24" s="32"/>
      <c r="I24" s="32"/>
      <c r="J24" s="32"/>
    </row>
    <row r="25" spans="1:10" ht="19.5" customHeight="1" x14ac:dyDescent="0.3">
      <c r="A25" s="38" t="s">
        <v>751</v>
      </c>
      <c r="B25" s="36"/>
      <c r="C25" s="36"/>
      <c r="D25" s="36"/>
      <c r="E25" s="36"/>
      <c r="F25" s="36"/>
      <c r="G25" s="34">
        <f t="shared" si="0"/>
        <v>0</v>
      </c>
      <c r="H25" s="36"/>
      <c r="I25" s="36"/>
      <c r="J25" s="36"/>
    </row>
    <row r="26" spans="1:10" ht="19.5" customHeight="1" x14ac:dyDescent="0.3">
      <c r="A26" s="38" t="s">
        <v>752</v>
      </c>
      <c r="B26" s="32"/>
      <c r="C26" s="32"/>
      <c r="D26" s="32"/>
      <c r="E26" s="32"/>
      <c r="F26" s="32"/>
      <c r="G26" s="34">
        <f t="shared" si="0"/>
        <v>0</v>
      </c>
      <c r="H26" s="32"/>
      <c r="I26" s="32"/>
      <c r="J26" s="32"/>
    </row>
    <row r="27" spans="1:10" ht="19.5" customHeight="1" x14ac:dyDescent="0.3">
      <c r="A27" s="38" t="s">
        <v>753</v>
      </c>
      <c r="B27" s="36"/>
      <c r="C27" s="36"/>
      <c r="D27" s="36"/>
      <c r="E27" s="36"/>
      <c r="F27" s="36"/>
      <c r="G27" s="34">
        <f t="shared" si="0"/>
        <v>0</v>
      </c>
      <c r="H27" s="36"/>
      <c r="I27" s="36"/>
      <c r="J27" s="36"/>
    </row>
    <row r="28" spans="1:10" ht="19.5" customHeight="1" x14ac:dyDescent="0.3">
      <c r="A28" s="38" t="s">
        <v>754</v>
      </c>
      <c r="B28" s="32"/>
      <c r="C28" s="32"/>
      <c r="D28" s="32"/>
      <c r="E28" s="32"/>
      <c r="F28" s="32"/>
      <c r="G28" s="34">
        <f t="shared" si="0"/>
        <v>0</v>
      </c>
      <c r="H28" s="32"/>
      <c r="I28" s="32"/>
      <c r="J28" s="32"/>
    </row>
    <row r="29" spans="1:10" ht="19.5" customHeight="1" x14ac:dyDescent="0.3">
      <c r="A29" s="38" t="s">
        <v>755</v>
      </c>
      <c r="B29" s="36"/>
      <c r="C29" s="36"/>
      <c r="D29" s="36"/>
      <c r="E29" s="36"/>
      <c r="F29" s="36"/>
      <c r="G29" s="34">
        <f t="shared" si="0"/>
        <v>0</v>
      </c>
      <c r="H29" s="36"/>
      <c r="I29" s="36"/>
      <c r="J29" s="36"/>
    </row>
    <row r="30" spans="1:10" ht="19.5" customHeight="1" x14ac:dyDescent="0.3">
      <c r="A30" s="38" t="s">
        <v>756</v>
      </c>
      <c r="B30" s="32"/>
      <c r="C30" s="32"/>
      <c r="D30" s="32"/>
      <c r="E30" s="32"/>
      <c r="F30" s="32"/>
      <c r="G30" s="34">
        <f t="shared" si="0"/>
        <v>0</v>
      </c>
      <c r="H30" s="32"/>
      <c r="I30" s="32"/>
      <c r="J30" s="32"/>
    </row>
    <row r="31" spans="1:10" ht="19.5" customHeight="1" x14ac:dyDescent="0.3">
      <c r="A31" s="38" t="s">
        <v>757</v>
      </c>
      <c r="B31" s="36"/>
      <c r="C31" s="36"/>
      <c r="D31" s="36"/>
      <c r="E31" s="36"/>
      <c r="F31" s="36"/>
      <c r="G31" s="34">
        <f t="shared" si="0"/>
        <v>0</v>
      </c>
      <c r="H31" s="36"/>
      <c r="I31" s="36"/>
      <c r="J31" s="36"/>
    </row>
    <row r="32" spans="1:10" ht="19.5" customHeight="1" x14ac:dyDescent="0.3">
      <c r="A32" s="38" t="s">
        <v>758</v>
      </c>
      <c r="B32" s="32"/>
      <c r="C32" s="32"/>
      <c r="D32" s="32"/>
      <c r="E32" s="32"/>
      <c r="F32" s="32"/>
      <c r="G32" s="34">
        <f t="shared" si="0"/>
        <v>0</v>
      </c>
      <c r="H32" s="32"/>
      <c r="I32" s="32"/>
      <c r="J32" s="32"/>
    </row>
    <row r="33" spans="1:10" ht="19.5" customHeight="1" x14ac:dyDescent="0.3">
      <c r="A33" s="38" t="s">
        <v>759</v>
      </c>
      <c r="B33" s="36"/>
      <c r="C33" s="36"/>
      <c r="D33" s="36"/>
      <c r="E33" s="36"/>
      <c r="F33" s="36"/>
      <c r="G33" s="34">
        <f t="shared" si="0"/>
        <v>0</v>
      </c>
      <c r="H33" s="36"/>
      <c r="I33" s="36"/>
      <c r="J33" s="36"/>
    </row>
    <row r="34" spans="1:10" ht="19.5" customHeight="1" x14ac:dyDescent="0.3">
      <c r="A34" s="38" t="s">
        <v>760</v>
      </c>
      <c r="B34" s="32"/>
      <c r="C34" s="32"/>
      <c r="D34" s="32"/>
      <c r="E34" s="32"/>
      <c r="F34" s="32"/>
      <c r="G34" s="34">
        <f t="shared" si="0"/>
        <v>0</v>
      </c>
      <c r="H34" s="32"/>
      <c r="I34" s="32"/>
      <c r="J34" s="32"/>
    </row>
    <row r="35" spans="1:10" ht="19.5" customHeight="1" x14ac:dyDescent="0.3">
      <c r="A35" s="38" t="s">
        <v>761</v>
      </c>
      <c r="B35" s="36"/>
      <c r="C35" s="36"/>
      <c r="D35" s="36"/>
      <c r="E35" s="36"/>
      <c r="F35" s="36"/>
      <c r="G35" s="34">
        <f t="shared" si="0"/>
        <v>0</v>
      </c>
      <c r="H35" s="36"/>
      <c r="I35" s="36"/>
      <c r="J35" s="36"/>
    </row>
    <row r="36" spans="1:10" ht="19.5" customHeight="1" x14ac:dyDescent="0.3">
      <c r="A36" s="38" t="s">
        <v>762</v>
      </c>
      <c r="B36" s="32"/>
      <c r="C36" s="32"/>
      <c r="D36" s="32"/>
      <c r="E36" s="32"/>
      <c r="F36" s="32"/>
      <c r="G36" s="34">
        <f t="shared" si="0"/>
        <v>0</v>
      </c>
      <c r="H36" s="32"/>
      <c r="I36" s="32"/>
      <c r="J36" s="32"/>
    </row>
    <row r="37" spans="1:10" ht="19.5" customHeight="1" x14ac:dyDescent="0.3">
      <c r="A37" s="38" t="s">
        <v>763</v>
      </c>
      <c r="B37" s="36"/>
      <c r="C37" s="36"/>
      <c r="D37" s="36"/>
      <c r="E37" s="36"/>
      <c r="F37" s="36"/>
      <c r="G37" s="34">
        <f t="shared" si="0"/>
        <v>0</v>
      </c>
      <c r="H37" s="36"/>
      <c r="I37" s="36"/>
      <c r="J37" s="36"/>
    </row>
    <row r="38" spans="1:10" ht="19.5" customHeight="1" x14ac:dyDescent="0.3">
      <c r="A38" s="38" t="s">
        <v>764</v>
      </c>
      <c r="B38" s="32"/>
      <c r="C38" s="32"/>
      <c r="D38" s="32"/>
      <c r="E38" s="32"/>
      <c r="F38" s="32"/>
      <c r="G38" s="34">
        <f t="shared" si="0"/>
        <v>0</v>
      </c>
      <c r="H38" s="32"/>
      <c r="I38" s="32"/>
      <c r="J38" s="32"/>
    </row>
    <row r="39" spans="1:10" ht="19.5" customHeight="1" x14ac:dyDescent="0.3">
      <c r="A39" s="38" t="s">
        <v>765</v>
      </c>
      <c r="B39" s="36"/>
      <c r="C39" s="36"/>
      <c r="D39" s="36"/>
      <c r="E39" s="36"/>
      <c r="F39" s="36"/>
      <c r="G39" s="34">
        <f t="shared" si="0"/>
        <v>0</v>
      </c>
      <c r="H39" s="36"/>
      <c r="I39" s="36"/>
      <c r="J39" s="36"/>
    </row>
    <row r="40" spans="1:10" ht="19.5" customHeight="1" x14ac:dyDescent="0.3">
      <c r="A40" s="38" t="s">
        <v>766</v>
      </c>
      <c r="B40" s="32"/>
      <c r="C40" s="32"/>
      <c r="D40" s="32"/>
      <c r="E40" s="32"/>
      <c r="F40" s="32"/>
      <c r="G40" s="34">
        <f t="shared" si="0"/>
        <v>0</v>
      </c>
      <c r="H40" s="32"/>
      <c r="I40" s="32"/>
      <c r="J40" s="32"/>
    </row>
    <row r="41" spans="1:10" ht="19.5" customHeight="1" x14ac:dyDescent="0.3">
      <c r="A41" s="38" t="s">
        <v>767</v>
      </c>
      <c r="B41" s="36"/>
      <c r="C41" s="36"/>
      <c r="D41" s="36"/>
      <c r="E41" s="36"/>
      <c r="F41" s="36"/>
      <c r="G41" s="34">
        <f t="shared" si="0"/>
        <v>0</v>
      </c>
      <c r="H41" s="36"/>
      <c r="I41" s="36"/>
      <c r="J41" s="36"/>
    </row>
    <row r="42" spans="1:10" ht="19.5" customHeight="1" x14ac:dyDescent="0.3">
      <c r="A42" s="38" t="s">
        <v>768</v>
      </c>
      <c r="B42" s="32"/>
      <c r="C42" s="32"/>
      <c r="D42" s="32"/>
      <c r="E42" s="32"/>
      <c r="F42" s="32"/>
      <c r="G42" s="34">
        <f t="shared" si="0"/>
        <v>0</v>
      </c>
      <c r="H42" s="32"/>
      <c r="I42" s="32"/>
      <c r="J42" s="32"/>
    </row>
    <row r="43" spans="1:10" ht="19.5" customHeight="1" x14ac:dyDescent="0.3">
      <c r="A43" s="38" t="s">
        <v>769</v>
      </c>
      <c r="B43" s="36"/>
      <c r="C43" s="36"/>
      <c r="D43" s="36"/>
      <c r="E43" s="36"/>
      <c r="F43" s="36"/>
      <c r="G43" s="34">
        <f t="shared" si="0"/>
        <v>0</v>
      </c>
      <c r="H43" s="36"/>
      <c r="I43" s="36"/>
      <c r="J43" s="36"/>
    </row>
    <row r="44" spans="1:10" ht="19.5" customHeight="1" x14ac:dyDescent="0.3">
      <c r="A44" s="38" t="s">
        <v>770</v>
      </c>
      <c r="B44" s="32"/>
      <c r="C44" s="32"/>
      <c r="D44" s="32"/>
      <c r="E44" s="32"/>
      <c r="F44" s="32"/>
      <c r="G44" s="34">
        <f t="shared" si="0"/>
        <v>0</v>
      </c>
      <c r="H44" s="32"/>
      <c r="I44" s="32"/>
      <c r="J44" s="32"/>
    </row>
    <row r="45" spans="1:10" ht="19.5" customHeight="1" x14ac:dyDescent="0.3">
      <c r="A45" s="38" t="s">
        <v>771</v>
      </c>
      <c r="B45" s="36"/>
      <c r="C45" s="36"/>
      <c r="D45" s="36"/>
      <c r="E45" s="36"/>
      <c r="F45" s="36"/>
      <c r="G45" s="34">
        <f t="shared" si="0"/>
        <v>0</v>
      </c>
      <c r="H45" s="36"/>
      <c r="I45" s="36"/>
      <c r="J45" s="36"/>
    </row>
    <row r="46" spans="1:10" ht="19.5" customHeight="1" x14ac:dyDescent="0.3">
      <c r="A46" s="38" t="s">
        <v>772</v>
      </c>
      <c r="B46" s="32"/>
      <c r="C46" s="32"/>
      <c r="D46" s="32"/>
      <c r="E46" s="32"/>
      <c r="F46" s="32"/>
      <c r="G46" s="34">
        <f t="shared" si="0"/>
        <v>0</v>
      </c>
      <c r="H46" s="32"/>
      <c r="I46" s="32"/>
      <c r="J46" s="32"/>
    </row>
    <row r="47" spans="1:10" ht="19.5" customHeight="1" x14ac:dyDescent="0.3">
      <c r="A47" s="38" t="s">
        <v>773</v>
      </c>
      <c r="B47" s="36"/>
      <c r="C47" s="36"/>
      <c r="D47" s="36"/>
      <c r="E47" s="36"/>
      <c r="F47" s="36"/>
      <c r="G47" s="34">
        <f t="shared" si="0"/>
        <v>0</v>
      </c>
      <c r="H47" s="36"/>
      <c r="I47" s="36"/>
      <c r="J47" s="36"/>
    </row>
    <row r="48" spans="1:10" ht="19.5" customHeight="1" x14ac:dyDescent="0.3">
      <c r="A48" s="38" t="s">
        <v>774</v>
      </c>
      <c r="B48" s="32"/>
      <c r="C48" s="32"/>
      <c r="D48" s="32"/>
      <c r="E48" s="32"/>
      <c r="F48" s="32"/>
      <c r="G48" s="34">
        <f t="shared" si="0"/>
        <v>0</v>
      </c>
      <c r="H48" s="32"/>
      <c r="I48" s="32"/>
      <c r="J48" s="32"/>
    </row>
    <row r="49" spans="1:10" ht="19.5" customHeight="1" x14ac:dyDescent="0.3">
      <c r="A49" s="38" t="s">
        <v>775</v>
      </c>
      <c r="B49" s="36"/>
      <c r="C49" s="36"/>
      <c r="D49" s="36"/>
      <c r="E49" s="36"/>
      <c r="F49" s="36"/>
      <c r="G49" s="34">
        <f t="shared" si="0"/>
        <v>0</v>
      </c>
      <c r="H49" s="36"/>
      <c r="I49" s="36"/>
      <c r="J49" s="36"/>
    </row>
    <row r="50" spans="1:10" ht="19.5" customHeight="1" x14ac:dyDescent="0.3">
      <c r="A50" s="38" t="s">
        <v>776</v>
      </c>
      <c r="B50" s="32"/>
      <c r="C50" s="32"/>
      <c r="D50" s="32"/>
      <c r="E50" s="32"/>
      <c r="F50" s="32"/>
      <c r="G50" s="34">
        <f t="shared" si="0"/>
        <v>0</v>
      </c>
      <c r="H50" s="32"/>
      <c r="I50" s="32"/>
      <c r="J50" s="32"/>
    </row>
    <row r="51" spans="1:10" ht="19.5" customHeight="1" x14ac:dyDescent="0.3">
      <c r="A51" s="38" t="s">
        <v>777</v>
      </c>
      <c r="B51" s="36"/>
      <c r="C51" s="36"/>
      <c r="D51" s="36"/>
      <c r="E51" s="36"/>
      <c r="F51" s="36"/>
      <c r="G51" s="34">
        <f t="shared" si="0"/>
        <v>0</v>
      </c>
      <c r="H51" s="36"/>
      <c r="I51" s="36"/>
      <c r="J51" s="36"/>
    </row>
    <row r="52" spans="1:10" ht="19.5" customHeight="1" x14ac:dyDescent="0.3">
      <c r="A52" s="38" t="s">
        <v>778</v>
      </c>
      <c r="B52" s="32"/>
      <c r="C52" s="32"/>
      <c r="D52" s="32"/>
      <c r="E52" s="32"/>
      <c r="F52" s="32"/>
      <c r="G52" s="34">
        <f t="shared" si="0"/>
        <v>0</v>
      </c>
      <c r="H52" s="32"/>
      <c r="I52" s="32"/>
      <c r="J52" s="32"/>
    </row>
    <row r="53" spans="1:10" ht="19.5" customHeight="1" x14ac:dyDescent="0.3">
      <c r="A53" s="38" t="s">
        <v>779</v>
      </c>
      <c r="B53" s="36"/>
      <c r="C53" s="36"/>
      <c r="D53" s="36"/>
      <c r="E53" s="36"/>
      <c r="F53" s="36"/>
      <c r="G53" s="34">
        <f t="shared" si="0"/>
        <v>0</v>
      </c>
      <c r="H53" s="36"/>
      <c r="I53" s="36"/>
      <c r="J53" s="36"/>
    </row>
    <row r="54" spans="1:10" ht="19.5" customHeight="1" x14ac:dyDescent="0.3">
      <c r="A54" s="38" t="s">
        <v>780</v>
      </c>
      <c r="B54" s="32"/>
      <c r="C54" s="32"/>
      <c r="D54" s="32"/>
      <c r="E54" s="32"/>
      <c r="F54" s="32"/>
      <c r="G54" s="34">
        <f t="shared" si="0"/>
        <v>0</v>
      </c>
      <c r="H54" s="32"/>
      <c r="I54" s="32"/>
      <c r="J54" s="32"/>
    </row>
    <row r="55" spans="1:10" ht="19.5" customHeight="1" x14ac:dyDescent="0.3">
      <c r="A55" s="38" t="s">
        <v>781</v>
      </c>
      <c r="B55" s="36"/>
      <c r="C55" s="36"/>
      <c r="D55" s="36"/>
      <c r="E55" s="36"/>
      <c r="F55" s="36"/>
      <c r="G55" s="34">
        <f t="shared" si="0"/>
        <v>0</v>
      </c>
      <c r="H55" s="36"/>
      <c r="I55" s="36"/>
      <c r="J55" s="36"/>
    </row>
    <row r="56" spans="1:10" ht="19.5" customHeight="1" x14ac:dyDescent="0.3">
      <c r="A56" s="38" t="s">
        <v>782</v>
      </c>
      <c r="B56" s="32"/>
      <c r="C56" s="32"/>
      <c r="D56" s="32"/>
      <c r="E56" s="32"/>
      <c r="F56" s="32"/>
      <c r="G56" s="34">
        <f t="shared" si="0"/>
        <v>0</v>
      </c>
      <c r="H56" s="32"/>
      <c r="I56" s="32"/>
      <c r="J56" s="32"/>
    </row>
    <row r="57" spans="1:10" ht="19.5" customHeight="1" x14ac:dyDescent="0.3">
      <c r="A57" s="38" t="s">
        <v>783</v>
      </c>
      <c r="B57" s="36"/>
      <c r="C57" s="36"/>
      <c r="D57" s="36"/>
      <c r="E57" s="36"/>
      <c r="F57" s="36"/>
      <c r="G57" s="34">
        <f t="shared" si="0"/>
        <v>0</v>
      </c>
      <c r="H57" s="36"/>
      <c r="I57" s="36"/>
      <c r="J57" s="36"/>
    </row>
    <row r="58" spans="1:10" ht="19.5" customHeight="1" x14ac:dyDescent="0.3">
      <c r="A58" s="38" t="s">
        <v>784</v>
      </c>
      <c r="B58" s="32"/>
      <c r="C58" s="32"/>
      <c r="D58" s="32"/>
      <c r="E58" s="32"/>
      <c r="F58" s="32"/>
      <c r="G58" s="34">
        <f t="shared" si="0"/>
        <v>0</v>
      </c>
      <c r="H58" s="32"/>
      <c r="I58" s="32"/>
      <c r="J58" s="32"/>
    </row>
    <row r="59" spans="1:10" ht="19.5" customHeight="1" x14ac:dyDescent="0.3">
      <c r="A59" s="38" t="s">
        <v>785</v>
      </c>
      <c r="B59" s="36"/>
      <c r="C59" s="36"/>
      <c r="D59" s="36"/>
      <c r="E59" s="36"/>
      <c r="F59" s="36"/>
      <c r="G59" s="34">
        <f t="shared" si="0"/>
        <v>0</v>
      </c>
      <c r="H59" s="36"/>
      <c r="I59" s="36"/>
      <c r="J59" s="36"/>
    </row>
    <row r="60" spans="1:10" ht="19.5" customHeight="1" x14ac:dyDescent="0.3">
      <c r="A60" s="38" t="s">
        <v>786</v>
      </c>
      <c r="B60" s="32"/>
      <c r="C60" s="32"/>
      <c r="D60" s="32"/>
      <c r="E60" s="32"/>
      <c r="F60" s="32"/>
      <c r="G60" s="34">
        <f t="shared" si="0"/>
        <v>0</v>
      </c>
      <c r="H60" s="32"/>
      <c r="I60" s="32"/>
      <c r="J60" s="32"/>
    </row>
    <row r="61" spans="1:10" ht="19.5" customHeight="1" x14ac:dyDescent="0.3">
      <c r="A61" s="38" t="s">
        <v>787</v>
      </c>
      <c r="B61" s="36"/>
      <c r="C61" s="36"/>
      <c r="D61" s="36"/>
      <c r="E61" s="36"/>
      <c r="F61" s="36"/>
      <c r="G61" s="34">
        <f t="shared" si="0"/>
        <v>0</v>
      </c>
      <c r="H61" s="36"/>
      <c r="I61" s="36"/>
      <c r="J61" s="36"/>
    </row>
    <row r="62" spans="1:10" ht="19.5" customHeight="1" x14ac:dyDescent="0.3">
      <c r="A62" s="38" t="s">
        <v>788</v>
      </c>
      <c r="B62" s="32"/>
      <c r="C62" s="32"/>
      <c r="D62" s="32"/>
      <c r="E62" s="32"/>
      <c r="F62" s="32"/>
      <c r="G62" s="34">
        <f t="shared" si="0"/>
        <v>0</v>
      </c>
      <c r="H62" s="32"/>
      <c r="I62" s="32"/>
      <c r="J62" s="32"/>
    </row>
    <row r="63" spans="1:10" ht="19.5" customHeight="1" x14ac:dyDescent="0.3">
      <c r="A63" s="38" t="s">
        <v>789</v>
      </c>
      <c r="B63" s="36"/>
      <c r="C63" s="36"/>
      <c r="D63" s="36"/>
      <c r="E63" s="36"/>
      <c r="F63" s="36"/>
      <c r="G63" s="34">
        <f t="shared" si="0"/>
        <v>0</v>
      </c>
      <c r="H63" s="36"/>
      <c r="I63" s="36"/>
      <c r="J63" s="36"/>
    </row>
    <row r="64" spans="1:10" ht="19.5" customHeight="1" x14ac:dyDescent="0.3">
      <c r="A64" s="38" t="s">
        <v>790</v>
      </c>
      <c r="B64" s="32"/>
      <c r="C64" s="32"/>
      <c r="D64" s="32"/>
      <c r="E64" s="32"/>
      <c r="F64" s="32"/>
      <c r="G64" s="34">
        <f t="shared" si="0"/>
        <v>0</v>
      </c>
      <c r="H64" s="32"/>
      <c r="I64" s="32"/>
      <c r="J64" s="32"/>
    </row>
    <row r="65" spans="1:10" ht="19.5" customHeight="1" x14ac:dyDescent="0.3">
      <c r="A65" s="38" t="s">
        <v>791</v>
      </c>
      <c r="B65" s="36"/>
      <c r="C65" s="36"/>
      <c r="D65" s="36"/>
      <c r="E65" s="36"/>
      <c r="F65" s="36"/>
      <c r="G65" s="34">
        <f t="shared" si="0"/>
        <v>0</v>
      </c>
      <c r="H65" s="36"/>
      <c r="I65" s="36"/>
      <c r="J65" s="36"/>
    </row>
    <row r="66" spans="1:10" ht="19.5" customHeight="1" x14ac:dyDescent="0.3">
      <c r="A66" s="38" t="s">
        <v>792</v>
      </c>
      <c r="B66" s="32"/>
      <c r="C66" s="32"/>
      <c r="D66" s="32"/>
      <c r="E66" s="32"/>
      <c r="F66" s="32"/>
      <c r="G66" s="34">
        <f t="shared" si="0"/>
        <v>0</v>
      </c>
      <c r="H66" s="32"/>
      <c r="I66" s="32"/>
      <c r="J66" s="32"/>
    </row>
    <row r="67" spans="1:10" ht="19.5" customHeight="1" x14ac:dyDescent="0.3">
      <c r="A67" s="38" t="s">
        <v>793</v>
      </c>
      <c r="B67" s="36"/>
      <c r="C67" s="36"/>
      <c r="D67" s="36"/>
      <c r="E67" s="36"/>
      <c r="F67" s="36"/>
      <c r="G67" s="34">
        <f t="shared" si="0"/>
        <v>0</v>
      </c>
      <c r="H67" s="36"/>
      <c r="I67" s="36"/>
      <c r="J67" s="36"/>
    </row>
    <row r="68" spans="1:10" ht="19.5" customHeight="1" x14ac:dyDescent="0.3">
      <c r="A68" s="38" t="s">
        <v>794</v>
      </c>
      <c r="B68" s="32"/>
      <c r="C68" s="32"/>
      <c r="D68" s="32"/>
      <c r="E68" s="32"/>
      <c r="F68" s="32"/>
      <c r="G68" s="34">
        <f t="shared" si="0"/>
        <v>0</v>
      </c>
      <c r="H68" s="32"/>
      <c r="I68" s="32"/>
      <c r="J68" s="32"/>
    </row>
    <row r="69" spans="1:10" ht="19.5" customHeight="1" x14ac:dyDescent="0.3">
      <c r="A69" s="38" t="s">
        <v>795</v>
      </c>
      <c r="B69" s="36"/>
      <c r="C69" s="36"/>
      <c r="D69" s="36"/>
      <c r="E69" s="36"/>
      <c r="F69" s="36"/>
      <c r="G69" s="34">
        <f t="shared" ref="G69:G132" si="1">G68+E69-F69</f>
        <v>0</v>
      </c>
      <c r="H69" s="36"/>
      <c r="I69" s="36"/>
      <c r="J69" s="36"/>
    </row>
    <row r="70" spans="1:10" ht="19.5" customHeight="1" x14ac:dyDescent="0.3">
      <c r="A70" s="38" t="s">
        <v>796</v>
      </c>
      <c r="B70" s="32"/>
      <c r="C70" s="32"/>
      <c r="D70" s="32"/>
      <c r="E70" s="32"/>
      <c r="F70" s="32"/>
      <c r="G70" s="34">
        <f t="shared" si="1"/>
        <v>0</v>
      </c>
      <c r="H70" s="32"/>
      <c r="I70" s="32"/>
      <c r="J70" s="32"/>
    </row>
    <row r="71" spans="1:10" ht="19.5" customHeight="1" x14ac:dyDescent="0.3">
      <c r="A71" s="38" t="s">
        <v>797</v>
      </c>
      <c r="B71" s="36"/>
      <c r="C71" s="36"/>
      <c r="D71" s="36"/>
      <c r="E71" s="36"/>
      <c r="F71" s="36"/>
      <c r="G71" s="34">
        <f t="shared" si="1"/>
        <v>0</v>
      </c>
      <c r="H71" s="36"/>
      <c r="I71" s="36"/>
      <c r="J71" s="36"/>
    </row>
    <row r="72" spans="1:10" ht="19.5" customHeight="1" x14ac:dyDescent="0.3">
      <c r="A72" s="38" t="s">
        <v>798</v>
      </c>
      <c r="B72" s="32"/>
      <c r="C72" s="32"/>
      <c r="D72" s="32"/>
      <c r="E72" s="32"/>
      <c r="F72" s="32"/>
      <c r="G72" s="34">
        <f t="shared" si="1"/>
        <v>0</v>
      </c>
      <c r="H72" s="32"/>
      <c r="I72" s="32"/>
      <c r="J72" s="32"/>
    </row>
    <row r="73" spans="1:10" ht="19.5" customHeight="1" x14ac:dyDescent="0.3">
      <c r="A73" s="38" t="s">
        <v>799</v>
      </c>
      <c r="B73" s="36"/>
      <c r="C73" s="36"/>
      <c r="D73" s="36"/>
      <c r="E73" s="36"/>
      <c r="F73" s="36"/>
      <c r="G73" s="34">
        <f t="shared" si="1"/>
        <v>0</v>
      </c>
      <c r="H73" s="36"/>
      <c r="I73" s="36"/>
      <c r="J73" s="36"/>
    </row>
    <row r="74" spans="1:10" ht="19.5" customHeight="1" x14ac:dyDescent="0.3">
      <c r="A74" s="38" t="s">
        <v>800</v>
      </c>
      <c r="B74" s="32"/>
      <c r="C74" s="32"/>
      <c r="D74" s="32"/>
      <c r="E74" s="32"/>
      <c r="F74" s="32"/>
      <c r="G74" s="34">
        <f t="shared" si="1"/>
        <v>0</v>
      </c>
      <c r="H74" s="32"/>
      <c r="I74" s="32"/>
      <c r="J74" s="32"/>
    </row>
    <row r="75" spans="1:10" ht="19.5" customHeight="1" x14ac:dyDescent="0.3">
      <c r="A75" s="38" t="s">
        <v>801</v>
      </c>
      <c r="B75" s="36"/>
      <c r="C75" s="36"/>
      <c r="D75" s="36"/>
      <c r="E75" s="36"/>
      <c r="F75" s="36"/>
      <c r="G75" s="34">
        <f t="shared" si="1"/>
        <v>0</v>
      </c>
      <c r="H75" s="36"/>
      <c r="I75" s="36"/>
      <c r="J75" s="36"/>
    </row>
    <row r="76" spans="1:10" ht="19.5" customHeight="1" x14ac:dyDescent="0.3">
      <c r="A76" s="38" t="s">
        <v>802</v>
      </c>
      <c r="B76" s="32"/>
      <c r="C76" s="32"/>
      <c r="D76" s="32"/>
      <c r="E76" s="32"/>
      <c r="F76" s="32"/>
      <c r="G76" s="34">
        <f t="shared" si="1"/>
        <v>0</v>
      </c>
      <c r="H76" s="32"/>
      <c r="I76" s="32"/>
      <c r="J76" s="32"/>
    </row>
    <row r="77" spans="1:10" ht="19.5" customHeight="1" x14ac:dyDescent="0.3">
      <c r="A77" s="38" t="s">
        <v>803</v>
      </c>
      <c r="B77" s="36"/>
      <c r="C77" s="36"/>
      <c r="D77" s="36"/>
      <c r="E77" s="36"/>
      <c r="F77" s="36"/>
      <c r="G77" s="34">
        <f t="shared" si="1"/>
        <v>0</v>
      </c>
      <c r="H77" s="36"/>
      <c r="I77" s="36"/>
      <c r="J77" s="36"/>
    </row>
    <row r="78" spans="1:10" ht="19.5" customHeight="1" x14ac:dyDescent="0.3">
      <c r="A78" s="38" t="s">
        <v>804</v>
      </c>
      <c r="B78" s="32"/>
      <c r="C78" s="32"/>
      <c r="D78" s="32"/>
      <c r="E78" s="32"/>
      <c r="F78" s="32"/>
      <c r="G78" s="34">
        <f t="shared" si="1"/>
        <v>0</v>
      </c>
      <c r="H78" s="32"/>
      <c r="I78" s="32"/>
      <c r="J78" s="32"/>
    </row>
    <row r="79" spans="1:10" ht="19.5" customHeight="1" x14ac:dyDescent="0.3">
      <c r="A79" s="38" t="s">
        <v>805</v>
      </c>
      <c r="B79" s="36"/>
      <c r="C79" s="36"/>
      <c r="D79" s="36"/>
      <c r="E79" s="36"/>
      <c r="F79" s="36"/>
      <c r="G79" s="34">
        <f t="shared" si="1"/>
        <v>0</v>
      </c>
      <c r="H79" s="36"/>
      <c r="I79" s="36"/>
      <c r="J79" s="36"/>
    </row>
    <row r="80" spans="1:10" ht="19.5" customHeight="1" x14ac:dyDescent="0.3">
      <c r="A80" s="38" t="s">
        <v>806</v>
      </c>
      <c r="B80" s="32"/>
      <c r="C80" s="32"/>
      <c r="D80" s="32"/>
      <c r="E80" s="32"/>
      <c r="F80" s="32"/>
      <c r="G80" s="34">
        <f t="shared" si="1"/>
        <v>0</v>
      </c>
      <c r="H80" s="32"/>
      <c r="I80" s="32"/>
      <c r="J80" s="32"/>
    </row>
    <row r="81" spans="1:10" ht="19.5" customHeight="1" x14ac:dyDescent="0.3">
      <c r="A81" s="38" t="s">
        <v>807</v>
      </c>
      <c r="B81" s="36"/>
      <c r="C81" s="36"/>
      <c r="D81" s="36"/>
      <c r="E81" s="36"/>
      <c r="F81" s="36"/>
      <c r="G81" s="34">
        <f t="shared" si="1"/>
        <v>0</v>
      </c>
      <c r="H81" s="36"/>
      <c r="I81" s="36"/>
      <c r="J81" s="36"/>
    </row>
    <row r="82" spans="1:10" ht="19.5" customHeight="1" x14ac:dyDescent="0.3">
      <c r="A82" s="38" t="s">
        <v>808</v>
      </c>
      <c r="B82" s="32"/>
      <c r="C82" s="32"/>
      <c r="D82" s="32"/>
      <c r="E82" s="32"/>
      <c r="F82" s="32"/>
      <c r="G82" s="34">
        <f t="shared" si="1"/>
        <v>0</v>
      </c>
      <c r="H82" s="32"/>
      <c r="I82" s="32"/>
      <c r="J82" s="32"/>
    </row>
    <row r="83" spans="1:10" ht="19.5" customHeight="1" x14ac:dyDescent="0.3">
      <c r="A83" s="38" t="s">
        <v>809</v>
      </c>
      <c r="B83" s="36"/>
      <c r="C83" s="36"/>
      <c r="D83" s="36"/>
      <c r="E83" s="36"/>
      <c r="F83" s="36"/>
      <c r="G83" s="34">
        <f t="shared" si="1"/>
        <v>0</v>
      </c>
      <c r="H83" s="36"/>
      <c r="I83" s="36"/>
      <c r="J83" s="36"/>
    </row>
    <row r="84" spans="1:10" ht="19.5" customHeight="1" x14ac:dyDescent="0.3">
      <c r="A84" s="38" t="s">
        <v>810</v>
      </c>
      <c r="B84" s="32"/>
      <c r="C84" s="32"/>
      <c r="D84" s="32"/>
      <c r="E84" s="32"/>
      <c r="F84" s="32"/>
      <c r="G84" s="34">
        <f t="shared" si="1"/>
        <v>0</v>
      </c>
      <c r="H84" s="32"/>
      <c r="I84" s="32"/>
      <c r="J84" s="32"/>
    </row>
    <row r="85" spans="1:10" ht="19.5" customHeight="1" x14ac:dyDescent="0.3">
      <c r="A85" s="38" t="s">
        <v>811</v>
      </c>
      <c r="B85" s="36"/>
      <c r="C85" s="36"/>
      <c r="D85" s="36"/>
      <c r="E85" s="36"/>
      <c r="F85" s="36"/>
      <c r="G85" s="34">
        <f t="shared" si="1"/>
        <v>0</v>
      </c>
      <c r="H85" s="36"/>
      <c r="I85" s="36"/>
      <c r="J85" s="36"/>
    </row>
    <row r="86" spans="1:10" ht="19.5" customHeight="1" x14ac:dyDescent="0.3">
      <c r="A86" s="38" t="s">
        <v>812</v>
      </c>
      <c r="B86" s="32"/>
      <c r="C86" s="32"/>
      <c r="D86" s="32"/>
      <c r="E86" s="32"/>
      <c r="F86" s="32"/>
      <c r="G86" s="34">
        <f t="shared" si="1"/>
        <v>0</v>
      </c>
      <c r="H86" s="32"/>
      <c r="I86" s="32"/>
      <c r="J86" s="32"/>
    </row>
    <row r="87" spans="1:10" ht="19.5" customHeight="1" x14ac:dyDescent="0.3">
      <c r="A87" s="38" t="s">
        <v>813</v>
      </c>
      <c r="B87" s="36"/>
      <c r="C87" s="36"/>
      <c r="D87" s="36"/>
      <c r="E87" s="36"/>
      <c r="F87" s="36"/>
      <c r="G87" s="34">
        <f t="shared" si="1"/>
        <v>0</v>
      </c>
      <c r="H87" s="36"/>
      <c r="I87" s="36"/>
      <c r="J87" s="36"/>
    </row>
    <row r="88" spans="1:10" ht="19.5" customHeight="1" x14ac:dyDescent="0.3">
      <c r="A88" s="38" t="s">
        <v>814</v>
      </c>
      <c r="B88" s="32"/>
      <c r="C88" s="32"/>
      <c r="D88" s="32"/>
      <c r="E88" s="32"/>
      <c r="F88" s="32"/>
      <c r="G88" s="34">
        <f t="shared" si="1"/>
        <v>0</v>
      </c>
      <c r="H88" s="32"/>
      <c r="I88" s="32"/>
      <c r="J88" s="32"/>
    </row>
    <row r="89" spans="1:10" ht="19.5" customHeight="1" x14ac:dyDescent="0.3">
      <c r="A89" s="38" t="s">
        <v>815</v>
      </c>
      <c r="B89" s="36"/>
      <c r="C89" s="36"/>
      <c r="D89" s="36"/>
      <c r="E89" s="36"/>
      <c r="F89" s="36"/>
      <c r="G89" s="34">
        <f t="shared" si="1"/>
        <v>0</v>
      </c>
      <c r="H89" s="36"/>
      <c r="I89" s="36"/>
      <c r="J89" s="36"/>
    </row>
    <row r="90" spans="1:10" ht="19.5" customHeight="1" x14ac:dyDescent="0.3">
      <c r="A90" s="38" t="s">
        <v>816</v>
      </c>
      <c r="B90" s="32"/>
      <c r="C90" s="32"/>
      <c r="D90" s="32"/>
      <c r="E90" s="32"/>
      <c r="F90" s="32"/>
      <c r="G90" s="34">
        <f t="shared" si="1"/>
        <v>0</v>
      </c>
      <c r="H90" s="32"/>
      <c r="I90" s="32"/>
      <c r="J90" s="32"/>
    </row>
    <row r="91" spans="1:10" ht="19.5" customHeight="1" x14ac:dyDescent="0.3">
      <c r="A91" s="38" t="s">
        <v>817</v>
      </c>
      <c r="B91" s="36"/>
      <c r="C91" s="36"/>
      <c r="D91" s="36"/>
      <c r="E91" s="36"/>
      <c r="F91" s="36"/>
      <c r="G91" s="34">
        <f t="shared" si="1"/>
        <v>0</v>
      </c>
      <c r="H91" s="36"/>
      <c r="I91" s="36"/>
      <c r="J91" s="36"/>
    </row>
    <row r="92" spans="1:10" ht="19.5" customHeight="1" x14ac:dyDescent="0.3">
      <c r="A92" s="38" t="s">
        <v>818</v>
      </c>
      <c r="B92" s="32"/>
      <c r="C92" s="32"/>
      <c r="D92" s="32"/>
      <c r="E92" s="32"/>
      <c r="F92" s="32"/>
      <c r="G92" s="34">
        <f t="shared" si="1"/>
        <v>0</v>
      </c>
      <c r="H92" s="32"/>
      <c r="I92" s="32"/>
      <c r="J92" s="32"/>
    </row>
    <row r="93" spans="1:10" ht="19.5" customHeight="1" x14ac:dyDescent="0.3">
      <c r="A93" s="38" t="s">
        <v>819</v>
      </c>
      <c r="B93" s="36"/>
      <c r="C93" s="36"/>
      <c r="D93" s="36"/>
      <c r="E93" s="36"/>
      <c r="F93" s="36"/>
      <c r="G93" s="34">
        <f t="shared" si="1"/>
        <v>0</v>
      </c>
      <c r="H93" s="36"/>
      <c r="I93" s="36"/>
      <c r="J93" s="36"/>
    </row>
    <row r="94" spans="1:10" ht="19.5" customHeight="1" x14ac:dyDescent="0.3">
      <c r="A94" s="38" t="s">
        <v>820</v>
      </c>
      <c r="B94" s="32"/>
      <c r="C94" s="32"/>
      <c r="D94" s="32"/>
      <c r="E94" s="32"/>
      <c r="F94" s="32"/>
      <c r="G94" s="34">
        <f t="shared" si="1"/>
        <v>0</v>
      </c>
      <c r="H94" s="32"/>
      <c r="I94" s="32"/>
      <c r="J94" s="32"/>
    </row>
    <row r="95" spans="1:10" ht="19.5" customHeight="1" x14ac:dyDescent="0.3">
      <c r="A95" s="38" t="s">
        <v>821</v>
      </c>
      <c r="B95" s="36"/>
      <c r="C95" s="36"/>
      <c r="D95" s="36"/>
      <c r="E95" s="36"/>
      <c r="F95" s="36"/>
      <c r="G95" s="34">
        <f t="shared" si="1"/>
        <v>0</v>
      </c>
      <c r="H95" s="36"/>
      <c r="I95" s="36"/>
      <c r="J95" s="36"/>
    </row>
    <row r="96" spans="1:10" ht="19.5" customHeight="1" x14ac:dyDescent="0.3">
      <c r="A96" s="38" t="s">
        <v>822</v>
      </c>
      <c r="B96" s="32"/>
      <c r="C96" s="32"/>
      <c r="D96" s="32"/>
      <c r="E96" s="32"/>
      <c r="F96" s="32"/>
      <c r="G96" s="34">
        <f t="shared" si="1"/>
        <v>0</v>
      </c>
      <c r="H96" s="32"/>
      <c r="I96" s="32"/>
      <c r="J96" s="32"/>
    </row>
    <row r="97" spans="1:10" ht="19.5" customHeight="1" x14ac:dyDescent="0.3">
      <c r="A97" s="38" t="s">
        <v>823</v>
      </c>
      <c r="B97" s="36"/>
      <c r="C97" s="36"/>
      <c r="D97" s="36"/>
      <c r="E97" s="36"/>
      <c r="F97" s="36"/>
      <c r="G97" s="34">
        <f t="shared" si="1"/>
        <v>0</v>
      </c>
      <c r="H97" s="36"/>
      <c r="I97" s="36"/>
      <c r="J97" s="36"/>
    </row>
    <row r="98" spans="1:10" ht="19.5" customHeight="1" x14ac:dyDescent="0.3">
      <c r="A98" s="38" t="s">
        <v>824</v>
      </c>
      <c r="B98" s="32"/>
      <c r="C98" s="32"/>
      <c r="D98" s="32"/>
      <c r="E98" s="32"/>
      <c r="F98" s="32"/>
      <c r="G98" s="34">
        <f t="shared" si="1"/>
        <v>0</v>
      </c>
      <c r="H98" s="32"/>
      <c r="I98" s="32"/>
      <c r="J98" s="32"/>
    </row>
    <row r="99" spans="1:10" ht="19.5" customHeight="1" x14ac:dyDescent="0.3">
      <c r="A99" s="38" t="s">
        <v>825</v>
      </c>
      <c r="B99" s="36"/>
      <c r="C99" s="36"/>
      <c r="D99" s="36"/>
      <c r="E99" s="36"/>
      <c r="F99" s="36"/>
      <c r="G99" s="34">
        <f t="shared" si="1"/>
        <v>0</v>
      </c>
      <c r="H99" s="36"/>
      <c r="I99" s="36"/>
      <c r="J99" s="36"/>
    </row>
    <row r="100" spans="1:10" ht="19.5" customHeight="1" x14ac:dyDescent="0.3">
      <c r="A100" s="38" t="s">
        <v>826</v>
      </c>
      <c r="B100" s="32"/>
      <c r="C100" s="32"/>
      <c r="D100" s="32"/>
      <c r="E100" s="32"/>
      <c r="F100" s="32"/>
      <c r="G100" s="34">
        <f t="shared" si="1"/>
        <v>0</v>
      </c>
      <c r="H100" s="32"/>
      <c r="I100" s="32"/>
      <c r="J100" s="32"/>
    </row>
    <row r="101" spans="1:10" ht="19.5" customHeight="1" x14ac:dyDescent="0.3">
      <c r="A101" s="38" t="s">
        <v>827</v>
      </c>
      <c r="B101" s="36"/>
      <c r="C101" s="36"/>
      <c r="D101" s="36"/>
      <c r="E101" s="36"/>
      <c r="F101" s="36"/>
      <c r="G101" s="34">
        <f t="shared" si="1"/>
        <v>0</v>
      </c>
      <c r="H101" s="36"/>
      <c r="I101" s="36"/>
      <c r="J101" s="36"/>
    </row>
    <row r="102" spans="1:10" ht="19.5" customHeight="1" x14ac:dyDescent="0.3">
      <c r="A102" s="38" t="s">
        <v>828</v>
      </c>
      <c r="B102" s="32"/>
      <c r="C102" s="32"/>
      <c r="D102" s="32"/>
      <c r="E102" s="32"/>
      <c r="F102" s="32"/>
      <c r="G102" s="34">
        <f t="shared" si="1"/>
        <v>0</v>
      </c>
      <c r="H102" s="32"/>
      <c r="I102" s="32"/>
      <c r="J102" s="32"/>
    </row>
    <row r="103" spans="1:10" ht="19.5" customHeight="1" x14ac:dyDescent="0.3">
      <c r="A103" s="38" t="s">
        <v>829</v>
      </c>
      <c r="B103" s="36"/>
      <c r="C103" s="36"/>
      <c r="D103" s="36"/>
      <c r="E103" s="36"/>
      <c r="F103" s="36"/>
      <c r="G103" s="34">
        <f t="shared" si="1"/>
        <v>0</v>
      </c>
      <c r="H103" s="36"/>
      <c r="I103" s="36"/>
      <c r="J103" s="36"/>
    </row>
    <row r="104" spans="1:10" ht="19.5" customHeight="1" x14ac:dyDescent="0.3">
      <c r="A104" s="38" t="s">
        <v>830</v>
      </c>
      <c r="B104" s="32"/>
      <c r="C104" s="32"/>
      <c r="D104" s="32"/>
      <c r="E104" s="32"/>
      <c r="F104" s="32"/>
      <c r="G104" s="34">
        <f t="shared" si="1"/>
        <v>0</v>
      </c>
      <c r="H104" s="32"/>
      <c r="I104" s="32"/>
      <c r="J104" s="32"/>
    </row>
    <row r="105" spans="1:10" ht="19.5" customHeight="1" x14ac:dyDescent="0.3">
      <c r="A105" s="38" t="s">
        <v>831</v>
      </c>
      <c r="B105" s="36"/>
      <c r="C105" s="36"/>
      <c r="D105" s="36"/>
      <c r="E105" s="36"/>
      <c r="F105" s="36"/>
      <c r="G105" s="34">
        <f t="shared" si="1"/>
        <v>0</v>
      </c>
      <c r="H105" s="36"/>
      <c r="I105" s="36"/>
      <c r="J105" s="36"/>
    </row>
    <row r="106" spans="1:10" ht="19.5" customHeight="1" x14ac:dyDescent="0.3">
      <c r="A106" s="38" t="s">
        <v>832</v>
      </c>
      <c r="B106" s="32"/>
      <c r="C106" s="32"/>
      <c r="D106" s="32"/>
      <c r="E106" s="32"/>
      <c r="F106" s="32"/>
      <c r="G106" s="34">
        <f t="shared" si="1"/>
        <v>0</v>
      </c>
      <c r="H106" s="32"/>
      <c r="I106" s="32"/>
      <c r="J106" s="32"/>
    </row>
    <row r="107" spans="1:10" ht="19.5" customHeight="1" x14ac:dyDescent="0.3">
      <c r="A107" s="38" t="s">
        <v>833</v>
      </c>
      <c r="B107" s="36"/>
      <c r="C107" s="36"/>
      <c r="D107" s="36"/>
      <c r="E107" s="36"/>
      <c r="F107" s="36"/>
      <c r="G107" s="34">
        <f t="shared" si="1"/>
        <v>0</v>
      </c>
      <c r="H107" s="36"/>
      <c r="I107" s="36"/>
      <c r="J107" s="36"/>
    </row>
    <row r="108" spans="1:10" ht="19.5" customHeight="1" x14ac:dyDescent="0.3">
      <c r="A108" s="38" t="s">
        <v>834</v>
      </c>
      <c r="B108" s="32"/>
      <c r="C108" s="32"/>
      <c r="D108" s="32"/>
      <c r="E108" s="32"/>
      <c r="F108" s="32"/>
      <c r="G108" s="34">
        <f t="shared" si="1"/>
        <v>0</v>
      </c>
      <c r="H108" s="32"/>
      <c r="I108" s="32"/>
      <c r="J108" s="32"/>
    </row>
    <row r="109" spans="1:10" ht="19.5" customHeight="1" x14ac:dyDescent="0.3">
      <c r="A109" s="38" t="s">
        <v>835</v>
      </c>
      <c r="B109" s="36"/>
      <c r="C109" s="36"/>
      <c r="D109" s="36"/>
      <c r="E109" s="36"/>
      <c r="F109" s="36"/>
      <c r="G109" s="34">
        <f t="shared" si="1"/>
        <v>0</v>
      </c>
      <c r="H109" s="36"/>
      <c r="I109" s="36"/>
      <c r="J109" s="36"/>
    </row>
    <row r="110" spans="1:10" ht="19.5" customHeight="1" x14ac:dyDescent="0.3">
      <c r="A110" s="38" t="s">
        <v>836</v>
      </c>
      <c r="B110" s="32"/>
      <c r="C110" s="32"/>
      <c r="D110" s="32"/>
      <c r="E110" s="32"/>
      <c r="F110" s="32"/>
      <c r="G110" s="34">
        <f t="shared" si="1"/>
        <v>0</v>
      </c>
      <c r="H110" s="32"/>
      <c r="I110" s="32"/>
      <c r="J110" s="32"/>
    </row>
    <row r="111" spans="1:10" ht="19.5" customHeight="1" x14ac:dyDescent="0.3">
      <c r="A111" s="38" t="s">
        <v>837</v>
      </c>
      <c r="B111" s="36"/>
      <c r="C111" s="36"/>
      <c r="D111" s="36"/>
      <c r="E111" s="36"/>
      <c r="F111" s="36"/>
      <c r="G111" s="34">
        <f t="shared" si="1"/>
        <v>0</v>
      </c>
      <c r="H111" s="36"/>
      <c r="I111" s="36"/>
      <c r="J111" s="36"/>
    </row>
    <row r="112" spans="1:10" ht="19.5" customHeight="1" x14ac:dyDescent="0.3">
      <c r="A112" s="38" t="s">
        <v>838</v>
      </c>
      <c r="B112" s="32"/>
      <c r="C112" s="32"/>
      <c r="D112" s="32"/>
      <c r="E112" s="32"/>
      <c r="F112" s="32"/>
      <c r="G112" s="34">
        <f t="shared" si="1"/>
        <v>0</v>
      </c>
      <c r="H112" s="32"/>
      <c r="I112" s="32"/>
      <c r="J112" s="32"/>
    </row>
    <row r="113" spans="1:10" ht="19.5" customHeight="1" x14ac:dyDescent="0.3">
      <c r="A113" s="38" t="s">
        <v>839</v>
      </c>
      <c r="B113" s="36"/>
      <c r="C113" s="36"/>
      <c r="D113" s="36"/>
      <c r="E113" s="36"/>
      <c r="F113" s="36"/>
      <c r="G113" s="34">
        <f t="shared" si="1"/>
        <v>0</v>
      </c>
      <c r="H113" s="36"/>
      <c r="I113" s="36"/>
      <c r="J113" s="36"/>
    </row>
    <row r="114" spans="1:10" ht="19.5" customHeight="1" x14ac:dyDescent="0.3">
      <c r="A114" s="38" t="s">
        <v>840</v>
      </c>
      <c r="B114" s="32"/>
      <c r="C114" s="32"/>
      <c r="D114" s="32"/>
      <c r="E114" s="32"/>
      <c r="F114" s="32"/>
      <c r="G114" s="34">
        <f t="shared" si="1"/>
        <v>0</v>
      </c>
      <c r="H114" s="32"/>
      <c r="I114" s="32"/>
      <c r="J114" s="32"/>
    </row>
    <row r="115" spans="1:10" ht="19.5" customHeight="1" x14ac:dyDescent="0.3">
      <c r="A115" s="38" t="s">
        <v>841</v>
      </c>
      <c r="B115" s="36"/>
      <c r="C115" s="36"/>
      <c r="D115" s="36"/>
      <c r="E115" s="36"/>
      <c r="F115" s="36"/>
      <c r="G115" s="34">
        <f t="shared" si="1"/>
        <v>0</v>
      </c>
      <c r="H115" s="36"/>
      <c r="I115" s="36"/>
      <c r="J115" s="36"/>
    </row>
    <row r="116" spans="1:10" ht="19.5" customHeight="1" x14ac:dyDescent="0.3">
      <c r="A116" s="38" t="s">
        <v>842</v>
      </c>
      <c r="B116" s="32"/>
      <c r="C116" s="32"/>
      <c r="D116" s="32"/>
      <c r="E116" s="32"/>
      <c r="F116" s="32"/>
      <c r="G116" s="34">
        <f t="shared" si="1"/>
        <v>0</v>
      </c>
      <c r="H116" s="32"/>
      <c r="I116" s="32"/>
      <c r="J116" s="32"/>
    </row>
    <row r="117" spans="1:10" ht="19.5" customHeight="1" x14ac:dyDescent="0.3">
      <c r="A117" s="38" t="s">
        <v>843</v>
      </c>
      <c r="B117" s="36"/>
      <c r="C117" s="36"/>
      <c r="D117" s="36"/>
      <c r="E117" s="36"/>
      <c r="F117" s="36"/>
      <c r="G117" s="34">
        <f t="shared" si="1"/>
        <v>0</v>
      </c>
      <c r="H117" s="36"/>
      <c r="I117" s="36"/>
      <c r="J117" s="36"/>
    </row>
    <row r="118" spans="1:10" ht="19.5" customHeight="1" x14ac:dyDescent="0.3">
      <c r="A118" s="38" t="s">
        <v>844</v>
      </c>
      <c r="B118" s="32"/>
      <c r="C118" s="32"/>
      <c r="D118" s="32"/>
      <c r="E118" s="32"/>
      <c r="F118" s="32"/>
      <c r="G118" s="34">
        <f t="shared" si="1"/>
        <v>0</v>
      </c>
      <c r="H118" s="32"/>
      <c r="I118" s="32"/>
      <c r="J118" s="32"/>
    </row>
    <row r="119" spans="1:10" ht="19.5" customHeight="1" x14ac:dyDescent="0.3">
      <c r="A119" s="38" t="s">
        <v>845</v>
      </c>
      <c r="B119" s="36"/>
      <c r="C119" s="36"/>
      <c r="D119" s="36"/>
      <c r="E119" s="36"/>
      <c r="F119" s="36"/>
      <c r="G119" s="34">
        <f t="shared" si="1"/>
        <v>0</v>
      </c>
      <c r="H119" s="36"/>
      <c r="I119" s="36"/>
      <c r="J119" s="36"/>
    </row>
    <row r="120" spans="1:10" ht="19.5" customHeight="1" x14ac:dyDescent="0.3">
      <c r="A120" s="38" t="s">
        <v>846</v>
      </c>
      <c r="B120" s="32"/>
      <c r="C120" s="32"/>
      <c r="D120" s="32"/>
      <c r="E120" s="32"/>
      <c r="F120" s="32"/>
      <c r="G120" s="34">
        <f t="shared" si="1"/>
        <v>0</v>
      </c>
      <c r="H120" s="32"/>
      <c r="I120" s="32"/>
      <c r="J120" s="32"/>
    </row>
    <row r="121" spans="1:10" ht="19.5" customHeight="1" x14ac:dyDescent="0.3">
      <c r="A121" s="38" t="s">
        <v>847</v>
      </c>
      <c r="B121" s="36"/>
      <c r="C121" s="36"/>
      <c r="D121" s="36"/>
      <c r="E121" s="36"/>
      <c r="F121" s="36"/>
      <c r="G121" s="34">
        <f t="shared" si="1"/>
        <v>0</v>
      </c>
      <c r="H121" s="36"/>
      <c r="I121" s="36"/>
      <c r="J121" s="36"/>
    </row>
    <row r="122" spans="1:10" ht="19.5" customHeight="1" x14ac:dyDescent="0.3">
      <c r="A122" s="38" t="s">
        <v>848</v>
      </c>
      <c r="B122" s="32"/>
      <c r="C122" s="32"/>
      <c r="D122" s="32"/>
      <c r="E122" s="32"/>
      <c r="F122" s="32"/>
      <c r="G122" s="34">
        <f t="shared" si="1"/>
        <v>0</v>
      </c>
      <c r="H122" s="32"/>
      <c r="I122" s="32"/>
      <c r="J122" s="32"/>
    </row>
    <row r="123" spans="1:10" ht="19.5" customHeight="1" x14ac:dyDescent="0.3">
      <c r="A123" s="38" t="s">
        <v>849</v>
      </c>
      <c r="B123" s="36"/>
      <c r="C123" s="36"/>
      <c r="D123" s="36"/>
      <c r="E123" s="36"/>
      <c r="F123" s="36"/>
      <c r="G123" s="34">
        <f t="shared" si="1"/>
        <v>0</v>
      </c>
      <c r="H123" s="36"/>
      <c r="I123" s="36"/>
      <c r="J123" s="36"/>
    </row>
    <row r="124" spans="1:10" ht="19.5" customHeight="1" x14ac:dyDescent="0.3">
      <c r="A124" s="38" t="s">
        <v>850</v>
      </c>
      <c r="B124" s="32"/>
      <c r="C124" s="32"/>
      <c r="D124" s="32"/>
      <c r="E124" s="32"/>
      <c r="F124" s="32"/>
      <c r="G124" s="34">
        <f t="shared" si="1"/>
        <v>0</v>
      </c>
      <c r="H124" s="32"/>
      <c r="I124" s="32"/>
      <c r="J124" s="32"/>
    </row>
    <row r="125" spans="1:10" ht="19.5" customHeight="1" x14ac:dyDescent="0.3">
      <c r="A125" s="38" t="s">
        <v>851</v>
      </c>
      <c r="B125" s="36"/>
      <c r="C125" s="36"/>
      <c r="D125" s="36"/>
      <c r="E125" s="36"/>
      <c r="F125" s="36"/>
      <c r="G125" s="34">
        <f t="shared" si="1"/>
        <v>0</v>
      </c>
      <c r="H125" s="36"/>
      <c r="I125" s="36"/>
      <c r="J125" s="36"/>
    </row>
    <row r="126" spans="1:10" ht="19.5" customHeight="1" x14ac:dyDescent="0.3">
      <c r="A126" s="38" t="s">
        <v>852</v>
      </c>
      <c r="B126" s="32"/>
      <c r="C126" s="32"/>
      <c r="D126" s="32"/>
      <c r="E126" s="32"/>
      <c r="F126" s="32"/>
      <c r="G126" s="34">
        <f t="shared" si="1"/>
        <v>0</v>
      </c>
      <c r="H126" s="32"/>
      <c r="I126" s="32"/>
      <c r="J126" s="32"/>
    </row>
    <row r="127" spans="1:10" ht="19.5" customHeight="1" x14ac:dyDescent="0.3">
      <c r="A127" s="38" t="s">
        <v>853</v>
      </c>
      <c r="B127" s="36"/>
      <c r="C127" s="36"/>
      <c r="D127" s="36"/>
      <c r="E127" s="36"/>
      <c r="F127" s="36"/>
      <c r="G127" s="34">
        <f t="shared" si="1"/>
        <v>0</v>
      </c>
      <c r="H127" s="36"/>
      <c r="I127" s="36"/>
      <c r="J127" s="36"/>
    </row>
    <row r="128" spans="1:10" ht="19.5" customHeight="1" x14ac:dyDescent="0.3">
      <c r="A128" s="38" t="s">
        <v>854</v>
      </c>
      <c r="B128" s="32"/>
      <c r="C128" s="32"/>
      <c r="D128" s="32"/>
      <c r="E128" s="32"/>
      <c r="F128" s="32"/>
      <c r="G128" s="34">
        <f t="shared" si="1"/>
        <v>0</v>
      </c>
      <c r="H128" s="32"/>
      <c r="I128" s="32"/>
      <c r="J128" s="32"/>
    </row>
    <row r="129" spans="1:10" ht="19.5" customHeight="1" x14ac:dyDescent="0.3">
      <c r="A129" s="38" t="s">
        <v>855</v>
      </c>
      <c r="B129" s="36"/>
      <c r="C129" s="36"/>
      <c r="D129" s="36"/>
      <c r="E129" s="36"/>
      <c r="F129" s="36"/>
      <c r="G129" s="34">
        <f t="shared" si="1"/>
        <v>0</v>
      </c>
      <c r="H129" s="36"/>
      <c r="I129" s="36"/>
      <c r="J129" s="36"/>
    </row>
    <row r="130" spans="1:10" ht="19.5" customHeight="1" x14ac:dyDescent="0.3">
      <c r="A130" s="38" t="s">
        <v>856</v>
      </c>
      <c r="B130" s="32"/>
      <c r="C130" s="32"/>
      <c r="D130" s="32"/>
      <c r="E130" s="32"/>
      <c r="F130" s="32"/>
      <c r="G130" s="34">
        <f t="shared" si="1"/>
        <v>0</v>
      </c>
      <c r="H130" s="32"/>
      <c r="I130" s="32"/>
      <c r="J130" s="32"/>
    </row>
    <row r="131" spans="1:10" ht="19.5" customHeight="1" x14ac:dyDescent="0.3">
      <c r="A131" s="38" t="s">
        <v>857</v>
      </c>
      <c r="B131" s="36"/>
      <c r="C131" s="36"/>
      <c r="D131" s="36"/>
      <c r="E131" s="36"/>
      <c r="F131" s="36"/>
      <c r="G131" s="34">
        <f t="shared" si="1"/>
        <v>0</v>
      </c>
      <c r="H131" s="36"/>
      <c r="I131" s="36"/>
      <c r="J131" s="36"/>
    </row>
    <row r="132" spans="1:10" ht="19.5" customHeight="1" x14ac:dyDescent="0.3">
      <c r="A132" s="38" t="s">
        <v>858</v>
      </c>
      <c r="B132" s="32"/>
      <c r="C132" s="32"/>
      <c r="D132" s="32"/>
      <c r="E132" s="32"/>
      <c r="F132" s="32"/>
      <c r="G132" s="34">
        <f t="shared" si="1"/>
        <v>0</v>
      </c>
      <c r="H132" s="32"/>
      <c r="I132" s="32"/>
      <c r="J132" s="32"/>
    </row>
    <row r="133" spans="1:10" ht="19.5" customHeight="1" x14ac:dyDescent="0.3">
      <c r="A133" s="38" t="s">
        <v>859</v>
      </c>
      <c r="B133" s="36"/>
      <c r="C133" s="36"/>
      <c r="D133" s="36"/>
      <c r="E133" s="36"/>
      <c r="F133" s="36"/>
      <c r="G133" s="34">
        <f t="shared" ref="G133:G196" si="2">G132+E133-F133</f>
        <v>0</v>
      </c>
      <c r="H133" s="36"/>
      <c r="I133" s="36"/>
      <c r="J133" s="36"/>
    </row>
    <row r="134" spans="1:10" ht="19.5" customHeight="1" x14ac:dyDescent="0.3">
      <c r="A134" s="38" t="s">
        <v>860</v>
      </c>
      <c r="B134" s="32"/>
      <c r="C134" s="32"/>
      <c r="D134" s="32"/>
      <c r="E134" s="32"/>
      <c r="F134" s="32"/>
      <c r="G134" s="34">
        <f t="shared" si="2"/>
        <v>0</v>
      </c>
      <c r="H134" s="32"/>
      <c r="I134" s="32"/>
      <c r="J134" s="32"/>
    </row>
    <row r="135" spans="1:10" ht="19.5" customHeight="1" x14ac:dyDescent="0.3">
      <c r="A135" s="38" t="s">
        <v>861</v>
      </c>
      <c r="B135" s="36"/>
      <c r="C135" s="36"/>
      <c r="D135" s="36"/>
      <c r="E135" s="36"/>
      <c r="F135" s="36"/>
      <c r="G135" s="34">
        <f t="shared" si="2"/>
        <v>0</v>
      </c>
      <c r="H135" s="36"/>
      <c r="I135" s="36"/>
      <c r="J135" s="36"/>
    </row>
    <row r="136" spans="1:10" ht="19.5" customHeight="1" x14ac:dyDescent="0.3">
      <c r="A136" s="38" t="s">
        <v>862</v>
      </c>
      <c r="B136" s="32"/>
      <c r="C136" s="32"/>
      <c r="D136" s="32"/>
      <c r="E136" s="32"/>
      <c r="F136" s="32"/>
      <c r="G136" s="34">
        <f t="shared" si="2"/>
        <v>0</v>
      </c>
      <c r="H136" s="32"/>
      <c r="I136" s="32"/>
      <c r="J136" s="32"/>
    </row>
    <row r="137" spans="1:10" ht="19.5" customHeight="1" x14ac:dyDescent="0.3">
      <c r="A137" s="38" t="s">
        <v>863</v>
      </c>
      <c r="B137" s="36"/>
      <c r="C137" s="36"/>
      <c r="D137" s="36"/>
      <c r="E137" s="36"/>
      <c r="F137" s="36"/>
      <c r="G137" s="34">
        <f t="shared" si="2"/>
        <v>0</v>
      </c>
      <c r="H137" s="36"/>
      <c r="I137" s="36"/>
      <c r="J137" s="36"/>
    </row>
    <row r="138" spans="1:10" ht="19.5" customHeight="1" x14ac:dyDescent="0.3">
      <c r="A138" s="38" t="s">
        <v>864</v>
      </c>
      <c r="B138" s="32"/>
      <c r="C138" s="32"/>
      <c r="D138" s="32"/>
      <c r="E138" s="32"/>
      <c r="F138" s="32"/>
      <c r="G138" s="34">
        <f t="shared" si="2"/>
        <v>0</v>
      </c>
      <c r="H138" s="32"/>
      <c r="I138" s="32"/>
      <c r="J138" s="32"/>
    </row>
    <row r="139" spans="1:10" ht="19.5" customHeight="1" x14ac:dyDescent="0.3">
      <c r="A139" s="38" t="s">
        <v>865</v>
      </c>
      <c r="B139" s="36"/>
      <c r="C139" s="36"/>
      <c r="D139" s="36"/>
      <c r="E139" s="36"/>
      <c r="F139" s="36"/>
      <c r="G139" s="34">
        <f t="shared" si="2"/>
        <v>0</v>
      </c>
      <c r="H139" s="36"/>
      <c r="I139" s="36"/>
      <c r="J139" s="36"/>
    </row>
    <row r="140" spans="1:10" ht="19.5" customHeight="1" x14ac:dyDescent="0.3">
      <c r="A140" s="38" t="s">
        <v>866</v>
      </c>
      <c r="B140" s="32"/>
      <c r="C140" s="32"/>
      <c r="D140" s="32"/>
      <c r="E140" s="32"/>
      <c r="F140" s="32"/>
      <c r="G140" s="34">
        <f t="shared" si="2"/>
        <v>0</v>
      </c>
      <c r="H140" s="32"/>
      <c r="I140" s="32"/>
      <c r="J140" s="32"/>
    </row>
    <row r="141" spans="1:10" ht="19.5" customHeight="1" x14ac:dyDescent="0.3">
      <c r="A141" s="38" t="s">
        <v>867</v>
      </c>
      <c r="B141" s="36"/>
      <c r="C141" s="36"/>
      <c r="D141" s="36"/>
      <c r="E141" s="36"/>
      <c r="F141" s="36"/>
      <c r="G141" s="34">
        <f t="shared" si="2"/>
        <v>0</v>
      </c>
      <c r="H141" s="36"/>
      <c r="I141" s="36"/>
      <c r="J141" s="36"/>
    </row>
    <row r="142" spans="1:10" ht="19.5" customHeight="1" x14ac:dyDescent="0.3">
      <c r="A142" s="38" t="s">
        <v>868</v>
      </c>
      <c r="B142" s="32"/>
      <c r="C142" s="32"/>
      <c r="D142" s="32"/>
      <c r="E142" s="32"/>
      <c r="F142" s="32"/>
      <c r="G142" s="34">
        <f t="shared" si="2"/>
        <v>0</v>
      </c>
      <c r="H142" s="32"/>
      <c r="I142" s="32"/>
      <c r="J142" s="32"/>
    </row>
    <row r="143" spans="1:10" ht="19.5" customHeight="1" x14ac:dyDescent="0.3">
      <c r="A143" s="38" t="s">
        <v>869</v>
      </c>
      <c r="B143" s="36"/>
      <c r="C143" s="36"/>
      <c r="D143" s="36"/>
      <c r="E143" s="36"/>
      <c r="F143" s="36"/>
      <c r="G143" s="34">
        <f t="shared" si="2"/>
        <v>0</v>
      </c>
      <c r="H143" s="36"/>
      <c r="I143" s="36"/>
      <c r="J143" s="36"/>
    </row>
    <row r="144" spans="1:10" ht="19.5" customHeight="1" x14ac:dyDescent="0.3">
      <c r="A144" s="38" t="s">
        <v>870</v>
      </c>
      <c r="B144" s="32"/>
      <c r="C144" s="32"/>
      <c r="D144" s="32"/>
      <c r="E144" s="32"/>
      <c r="F144" s="32"/>
      <c r="G144" s="34">
        <f t="shared" si="2"/>
        <v>0</v>
      </c>
      <c r="H144" s="32"/>
      <c r="I144" s="32"/>
      <c r="J144" s="32"/>
    </row>
    <row r="145" spans="1:10" ht="19.5" customHeight="1" x14ac:dyDescent="0.3">
      <c r="A145" s="38" t="s">
        <v>871</v>
      </c>
      <c r="B145" s="36"/>
      <c r="C145" s="36"/>
      <c r="D145" s="36"/>
      <c r="E145" s="36"/>
      <c r="F145" s="36"/>
      <c r="G145" s="34">
        <f t="shared" si="2"/>
        <v>0</v>
      </c>
      <c r="H145" s="36"/>
      <c r="I145" s="36"/>
      <c r="J145" s="36"/>
    </row>
    <row r="146" spans="1:10" ht="19.5" customHeight="1" x14ac:dyDescent="0.3">
      <c r="A146" s="38" t="s">
        <v>872</v>
      </c>
      <c r="B146" s="32"/>
      <c r="C146" s="32"/>
      <c r="D146" s="32"/>
      <c r="E146" s="32"/>
      <c r="F146" s="32"/>
      <c r="G146" s="34">
        <f t="shared" si="2"/>
        <v>0</v>
      </c>
      <c r="H146" s="32"/>
      <c r="I146" s="32"/>
      <c r="J146" s="32"/>
    </row>
    <row r="147" spans="1:10" ht="19.5" customHeight="1" x14ac:dyDescent="0.3">
      <c r="A147" s="38" t="s">
        <v>873</v>
      </c>
      <c r="B147" s="36"/>
      <c r="C147" s="36"/>
      <c r="D147" s="36"/>
      <c r="E147" s="36"/>
      <c r="F147" s="36"/>
      <c r="G147" s="34">
        <f t="shared" si="2"/>
        <v>0</v>
      </c>
      <c r="H147" s="36"/>
      <c r="I147" s="36"/>
      <c r="J147" s="36"/>
    </row>
    <row r="148" spans="1:10" ht="19.5" customHeight="1" x14ac:dyDescent="0.3">
      <c r="A148" s="38" t="s">
        <v>874</v>
      </c>
      <c r="B148" s="32"/>
      <c r="C148" s="32"/>
      <c r="D148" s="32"/>
      <c r="E148" s="32"/>
      <c r="F148" s="32"/>
      <c r="G148" s="34">
        <f t="shared" si="2"/>
        <v>0</v>
      </c>
      <c r="H148" s="32"/>
      <c r="I148" s="32"/>
      <c r="J148" s="32"/>
    </row>
    <row r="149" spans="1:10" ht="19.5" customHeight="1" x14ac:dyDescent="0.3">
      <c r="A149" s="38" t="s">
        <v>875</v>
      </c>
      <c r="B149" s="36"/>
      <c r="C149" s="36"/>
      <c r="D149" s="36"/>
      <c r="E149" s="36"/>
      <c r="F149" s="36"/>
      <c r="G149" s="34">
        <f t="shared" si="2"/>
        <v>0</v>
      </c>
      <c r="H149" s="36"/>
      <c r="I149" s="36"/>
      <c r="J149" s="36"/>
    </row>
    <row r="150" spans="1:10" ht="19.5" customHeight="1" x14ac:dyDescent="0.3">
      <c r="A150" s="38" t="s">
        <v>876</v>
      </c>
      <c r="B150" s="32"/>
      <c r="C150" s="32"/>
      <c r="D150" s="32"/>
      <c r="E150" s="32"/>
      <c r="F150" s="32"/>
      <c r="G150" s="34">
        <f t="shared" si="2"/>
        <v>0</v>
      </c>
      <c r="H150" s="32"/>
      <c r="I150" s="32"/>
      <c r="J150" s="32"/>
    </row>
    <row r="151" spans="1:10" ht="19.5" customHeight="1" x14ac:dyDescent="0.3">
      <c r="A151" s="38" t="s">
        <v>877</v>
      </c>
      <c r="B151" s="36"/>
      <c r="C151" s="36"/>
      <c r="D151" s="36"/>
      <c r="E151" s="36"/>
      <c r="F151" s="36"/>
      <c r="G151" s="34">
        <f t="shared" si="2"/>
        <v>0</v>
      </c>
      <c r="H151" s="36"/>
      <c r="I151" s="36"/>
      <c r="J151" s="36"/>
    </row>
    <row r="152" spans="1:10" ht="19.5" customHeight="1" x14ac:dyDescent="0.3">
      <c r="A152" s="38" t="s">
        <v>878</v>
      </c>
      <c r="B152" s="32"/>
      <c r="C152" s="32"/>
      <c r="D152" s="32"/>
      <c r="E152" s="32"/>
      <c r="F152" s="32"/>
      <c r="G152" s="34">
        <f t="shared" si="2"/>
        <v>0</v>
      </c>
      <c r="H152" s="32"/>
      <c r="I152" s="32"/>
      <c r="J152" s="32"/>
    </row>
    <row r="153" spans="1:10" ht="19.5" customHeight="1" x14ac:dyDescent="0.3">
      <c r="A153" s="38" t="s">
        <v>879</v>
      </c>
      <c r="B153" s="36"/>
      <c r="C153" s="36"/>
      <c r="D153" s="36"/>
      <c r="E153" s="36"/>
      <c r="F153" s="36"/>
      <c r="G153" s="34">
        <f t="shared" si="2"/>
        <v>0</v>
      </c>
      <c r="H153" s="36"/>
      <c r="I153" s="36"/>
      <c r="J153" s="36"/>
    </row>
    <row r="154" spans="1:10" ht="19.5" customHeight="1" x14ac:dyDescent="0.3">
      <c r="A154" s="38" t="s">
        <v>880</v>
      </c>
      <c r="B154" s="32"/>
      <c r="C154" s="32"/>
      <c r="D154" s="32"/>
      <c r="E154" s="32"/>
      <c r="F154" s="32"/>
      <c r="G154" s="34">
        <f t="shared" si="2"/>
        <v>0</v>
      </c>
      <c r="H154" s="32"/>
      <c r="I154" s="32"/>
      <c r="J154" s="32"/>
    </row>
    <row r="155" spans="1:10" ht="19.5" customHeight="1" x14ac:dyDescent="0.3">
      <c r="A155" s="38" t="s">
        <v>881</v>
      </c>
      <c r="B155" s="36"/>
      <c r="C155" s="36"/>
      <c r="D155" s="36"/>
      <c r="E155" s="36"/>
      <c r="F155" s="36"/>
      <c r="G155" s="34">
        <f t="shared" si="2"/>
        <v>0</v>
      </c>
      <c r="H155" s="36"/>
      <c r="I155" s="36"/>
      <c r="J155" s="36"/>
    </row>
    <row r="156" spans="1:10" ht="19.5" customHeight="1" x14ac:dyDescent="0.3">
      <c r="A156" s="38" t="s">
        <v>882</v>
      </c>
      <c r="B156" s="32"/>
      <c r="C156" s="32"/>
      <c r="D156" s="32"/>
      <c r="E156" s="32"/>
      <c r="F156" s="32"/>
      <c r="G156" s="34">
        <f t="shared" si="2"/>
        <v>0</v>
      </c>
      <c r="H156" s="32"/>
      <c r="I156" s="32"/>
      <c r="J156" s="32"/>
    </row>
    <row r="157" spans="1:10" ht="19.5" customHeight="1" x14ac:dyDescent="0.3">
      <c r="A157" s="38" t="s">
        <v>883</v>
      </c>
      <c r="B157" s="36"/>
      <c r="C157" s="36"/>
      <c r="D157" s="36"/>
      <c r="E157" s="36"/>
      <c r="F157" s="36"/>
      <c r="G157" s="34">
        <f t="shared" si="2"/>
        <v>0</v>
      </c>
      <c r="H157" s="36"/>
      <c r="I157" s="36"/>
      <c r="J157" s="36"/>
    </row>
    <row r="158" spans="1:10" ht="19.5" customHeight="1" x14ac:dyDescent="0.3">
      <c r="A158" s="38" t="s">
        <v>884</v>
      </c>
      <c r="B158" s="32"/>
      <c r="C158" s="32"/>
      <c r="D158" s="32"/>
      <c r="E158" s="32"/>
      <c r="F158" s="32"/>
      <c r="G158" s="34">
        <f t="shared" si="2"/>
        <v>0</v>
      </c>
      <c r="H158" s="32"/>
      <c r="I158" s="32"/>
      <c r="J158" s="32"/>
    </row>
    <row r="159" spans="1:10" ht="19.5" customHeight="1" x14ac:dyDescent="0.3">
      <c r="A159" s="38" t="s">
        <v>885</v>
      </c>
      <c r="B159" s="36"/>
      <c r="C159" s="36"/>
      <c r="D159" s="36"/>
      <c r="E159" s="36"/>
      <c r="F159" s="36"/>
      <c r="G159" s="34">
        <f t="shared" si="2"/>
        <v>0</v>
      </c>
      <c r="H159" s="36"/>
      <c r="I159" s="36"/>
      <c r="J159" s="36"/>
    </row>
    <row r="160" spans="1:10" ht="19.5" customHeight="1" x14ac:dyDescent="0.3">
      <c r="A160" s="38" t="s">
        <v>886</v>
      </c>
      <c r="B160" s="32"/>
      <c r="C160" s="32"/>
      <c r="D160" s="32"/>
      <c r="E160" s="32"/>
      <c r="F160" s="32"/>
      <c r="G160" s="34">
        <f t="shared" si="2"/>
        <v>0</v>
      </c>
      <c r="H160" s="32"/>
      <c r="I160" s="32"/>
      <c r="J160" s="32"/>
    </row>
    <row r="161" spans="1:10" ht="19.5" customHeight="1" x14ac:dyDescent="0.3">
      <c r="A161" s="38" t="s">
        <v>887</v>
      </c>
      <c r="B161" s="36"/>
      <c r="C161" s="36"/>
      <c r="D161" s="36"/>
      <c r="E161" s="36"/>
      <c r="F161" s="36"/>
      <c r="G161" s="34">
        <f t="shared" si="2"/>
        <v>0</v>
      </c>
      <c r="H161" s="36"/>
      <c r="I161" s="36"/>
      <c r="J161" s="36"/>
    </row>
    <row r="162" spans="1:10" ht="19.5" customHeight="1" x14ac:dyDescent="0.3">
      <c r="A162" s="38" t="s">
        <v>888</v>
      </c>
      <c r="B162" s="32"/>
      <c r="C162" s="32"/>
      <c r="D162" s="32"/>
      <c r="E162" s="32"/>
      <c r="F162" s="32"/>
      <c r="G162" s="34">
        <f t="shared" si="2"/>
        <v>0</v>
      </c>
      <c r="H162" s="32"/>
      <c r="I162" s="32"/>
      <c r="J162" s="32"/>
    </row>
    <row r="163" spans="1:10" ht="19.5" customHeight="1" x14ac:dyDescent="0.3">
      <c r="A163" s="38" t="s">
        <v>889</v>
      </c>
      <c r="B163" s="36"/>
      <c r="C163" s="36"/>
      <c r="D163" s="36"/>
      <c r="E163" s="36"/>
      <c r="F163" s="36"/>
      <c r="G163" s="34">
        <f t="shared" si="2"/>
        <v>0</v>
      </c>
      <c r="H163" s="36"/>
      <c r="I163" s="36"/>
      <c r="J163" s="36"/>
    </row>
    <row r="164" spans="1:10" ht="19.5" customHeight="1" x14ac:dyDescent="0.3">
      <c r="A164" s="38" t="s">
        <v>890</v>
      </c>
      <c r="B164" s="32"/>
      <c r="C164" s="32"/>
      <c r="D164" s="32"/>
      <c r="E164" s="32"/>
      <c r="F164" s="32"/>
      <c r="G164" s="34">
        <f t="shared" si="2"/>
        <v>0</v>
      </c>
      <c r="H164" s="32"/>
      <c r="I164" s="32"/>
      <c r="J164" s="32"/>
    </row>
    <row r="165" spans="1:10" ht="19.5" customHeight="1" x14ac:dyDescent="0.3">
      <c r="A165" s="38" t="s">
        <v>891</v>
      </c>
      <c r="B165" s="36"/>
      <c r="C165" s="36"/>
      <c r="D165" s="36"/>
      <c r="E165" s="36"/>
      <c r="F165" s="36"/>
      <c r="G165" s="34">
        <f t="shared" si="2"/>
        <v>0</v>
      </c>
      <c r="H165" s="36"/>
      <c r="I165" s="36"/>
      <c r="J165" s="36"/>
    </row>
    <row r="166" spans="1:10" ht="19.5" customHeight="1" x14ac:dyDescent="0.3">
      <c r="A166" s="38" t="s">
        <v>892</v>
      </c>
      <c r="B166" s="32"/>
      <c r="C166" s="32"/>
      <c r="D166" s="32"/>
      <c r="E166" s="32"/>
      <c r="F166" s="32"/>
      <c r="G166" s="34">
        <f t="shared" si="2"/>
        <v>0</v>
      </c>
      <c r="H166" s="32"/>
      <c r="I166" s="32"/>
      <c r="J166" s="32"/>
    </row>
    <row r="167" spans="1:10" ht="19.5" customHeight="1" x14ac:dyDescent="0.3">
      <c r="A167" s="38" t="s">
        <v>893</v>
      </c>
      <c r="B167" s="36"/>
      <c r="C167" s="36"/>
      <c r="D167" s="36"/>
      <c r="E167" s="36"/>
      <c r="F167" s="36"/>
      <c r="G167" s="34">
        <f t="shared" si="2"/>
        <v>0</v>
      </c>
      <c r="H167" s="36"/>
      <c r="I167" s="36"/>
      <c r="J167" s="36"/>
    </row>
    <row r="168" spans="1:10" ht="19.5" customHeight="1" x14ac:dyDescent="0.3">
      <c r="A168" s="38" t="s">
        <v>894</v>
      </c>
      <c r="B168" s="32"/>
      <c r="C168" s="32"/>
      <c r="D168" s="32"/>
      <c r="E168" s="32"/>
      <c r="F168" s="32"/>
      <c r="G168" s="34">
        <f t="shared" si="2"/>
        <v>0</v>
      </c>
      <c r="H168" s="32"/>
      <c r="I168" s="32"/>
      <c r="J168" s="32"/>
    </row>
    <row r="169" spans="1:10" ht="19.5" customHeight="1" x14ac:dyDescent="0.3">
      <c r="A169" s="38" t="s">
        <v>895</v>
      </c>
      <c r="B169" s="36"/>
      <c r="C169" s="36"/>
      <c r="D169" s="36"/>
      <c r="E169" s="36"/>
      <c r="F169" s="36"/>
      <c r="G169" s="34">
        <f t="shared" si="2"/>
        <v>0</v>
      </c>
      <c r="H169" s="36"/>
      <c r="I169" s="36"/>
      <c r="J169" s="36"/>
    </row>
    <row r="170" spans="1:10" ht="19.5" customHeight="1" x14ac:dyDescent="0.3">
      <c r="A170" s="38" t="s">
        <v>896</v>
      </c>
      <c r="B170" s="32"/>
      <c r="C170" s="32"/>
      <c r="D170" s="32"/>
      <c r="E170" s="32"/>
      <c r="F170" s="32"/>
      <c r="G170" s="34">
        <f t="shared" si="2"/>
        <v>0</v>
      </c>
      <c r="H170" s="32"/>
      <c r="I170" s="32"/>
      <c r="J170" s="32"/>
    </row>
    <row r="171" spans="1:10" ht="19.5" customHeight="1" x14ac:dyDescent="0.3">
      <c r="A171" s="38" t="s">
        <v>897</v>
      </c>
      <c r="B171" s="36"/>
      <c r="C171" s="36"/>
      <c r="D171" s="36"/>
      <c r="E171" s="36"/>
      <c r="F171" s="36"/>
      <c r="G171" s="34">
        <f t="shared" si="2"/>
        <v>0</v>
      </c>
      <c r="H171" s="36"/>
      <c r="I171" s="36"/>
      <c r="J171" s="36"/>
    </row>
    <row r="172" spans="1:10" ht="19.5" customHeight="1" x14ac:dyDescent="0.3">
      <c r="A172" s="38" t="s">
        <v>898</v>
      </c>
      <c r="B172" s="32"/>
      <c r="C172" s="32"/>
      <c r="D172" s="32"/>
      <c r="E172" s="32"/>
      <c r="F172" s="32"/>
      <c r="G172" s="34">
        <f t="shared" si="2"/>
        <v>0</v>
      </c>
      <c r="H172" s="32"/>
      <c r="I172" s="32"/>
      <c r="J172" s="32"/>
    </row>
    <row r="173" spans="1:10" ht="19.5" customHeight="1" x14ac:dyDescent="0.3">
      <c r="A173" s="38" t="s">
        <v>899</v>
      </c>
      <c r="B173" s="36"/>
      <c r="C173" s="36"/>
      <c r="D173" s="36"/>
      <c r="E173" s="36"/>
      <c r="F173" s="36"/>
      <c r="G173" s="34">
        <f t="shared" si="2"/>
        <v>0</v>
      </c>
      <c r="H173" s="36"/>
      <c r="I173" s="36"/>
      <c r="J173" s="36"/>
    </row>
    <row r="174" spans="1:10" ht="19.5" customHeight="1" x14ac:dyDescent="0.3">
      <c r="A174" s="38" t="s">
        <v>900</v>
      </c>
      <c r="B174" s="32"/>
      <c r="C174" s="32"/>
      <c r="D174" s="32"/>
      <c r="E174" s="32"/>
      <c r="F174" s="32"/>
      <c r="G174" s="34">
        <f t="shared" si="2"/>
        <v>0</v>
      </c>
      <c r="H174" s="32"/>
      <c r="I174" s="32"/>
      <c r="J174" s="32"/>
    </row>
    <row r="175" spans="1:10" ht="19.5" customHeight="1" x14ac:dyDescent="0.3">
      <c r="A175" s="38" t="s">
        <v>901</v>
      </c>
      <c r="B175" s="36"/>
      <c r="C175" s="36"/>
      <c r="D175" s="36"/>
      <c r="E175" s="36"/>
      <c r="F175" s="36"/>
      <c r="G175" s="34">
        <f t="shared" si="2"/>
        <v>0</v>
      </c>
      <c r="H175" s="36"/>
      <c r="I175" s="36"/>
      <c r="J175" s="36"/>
    </row>
    <row r="176" spans="1:10" ht="19.5" customHeight="1" x14ac:dyDescent="0.3">
      <c r="A176" s="38" t="s">
        <v>902</v>
      </c>
      <c r="B176" s="32"/>
      <c r="C176" s="32"/>
      <c r="D176" s="32"/>
      <c r="E176" s="32"/>
      <c r="F176" s="32"/>
      <c r="G176" s="34">
        <f t="shared" si="2"/>
        <v>0</v>
      </c>
      <c r="H176" s="32"/>
      <c r="I176" s="32"/>
      <c r="J176" s="32"/>
    </row>
    <row r="177" spans="1:10" ht="19.5" customHeight="1" x14ac:dyDescent="0.3">
      <c r="A177" s="38" t="s">
        <v>903</v>
      </c>
      <c r="B177" s="36"/>
      <c r="C177" s="36"/>
      <c r="D177" s="36"/>
      <c r="E177" s="36"/>
      <c r="F177" s="36"/>
      <c r="G177" s="34">
        <f t="shared" si="2"/>
        <v>0</v>
      </c>
      <c r="H177" s="36"/>
      <c r="I177" s="36"/>
      <c r="J177" s="36"/>
    </row>
    <row r="178" spans="1:10" ht="19.5" customHeight="1" x14ac:dyDescent="0.3">
      <c r="A178" s="38" t="s">
        <v>904</v>
      </c>
      <c r="B178" s="32"/>
      <c r="C178" s="32"/>
      <c r="D178" s="32"/>
      <c r="E178" s="32"/>
      <c r="F178" s="32"/>
      <c r="G178" s="34">
        <f t="shared" si="2"/>
        <v>0</v>
      </c>
      <c r="H178" s="32"/>
      <c r="I178" s="32"/>
      <c r="J178" s="32"/>
    </row>
    <row r="179" spans="1:10" ht="19.5" customHeight="1" x14ac:dyDescent="0.3">
      <c r="A179" s="38" t="s">
        <v>905</v>
      </c>
      <c r="B179" s="36"/>
      <c r="C179" s="36"/>
      <c r="D179" s="36"/>
      <c r="E179" s="36"/>
      <c r="F179" s="36"/>
      <c r="G179" s="34">
        <f t="shared" si="2"/>
        <v>0</v>
      </c>
      <c r="H179" s="36"/>
      <c r="I179" s="36"/>
      <c r="J179" s="36"/>
    </row>
    <row r="180" spans="1:10" ht="19.5" customHeight="1" x14ac:dyDescent="0.3">
      <c r="A180" s="38" t="s">
        <v>906</v>
      </c>
      <c r="B180" s="32"/>
      <c r="C180" s="32"/>
      <c r="D180" s="32"/>
      <c r="E180" s="32"/>
      <c r="F180" s="32"/>
      <c r="G180" s="34">
        <f t="shared" si="2"/>
        <v>0</v>
      </c>
      <c r="H180" s="32"/>
      <c r="I180" s="32"/>
      <c r="J180" s="32"/>
    </row>
    <row r="181" spans="1:10" ht="19.5" customHeight="1" x14ac:dyDescent="0.3">
      <c r="A181" s="38" t="s">
        <v>907</v>
      </c>
      <c r="B181" s="36"/>
      <c r="C181" s="36"/>
      <c r="D181" s="36"/>
      <c r="E181" s="36"/>
      <c r="F181" s="36"/>
      <c r="G181" s="34">
        <f t="shared" si="2"/>
        <v>0</v>
      </c>
      <c r="H181" s="36"/>
      <c r="I181" s="36"/>
      <c r="J181" s="36"/>
    </row>
    <row r="182" spans="1:10" ht="19.5" customHeight="1" x14ac:dyDescent="0.3">
      <c r="A182" s="38" t="s">
        <v>908</v>
      </c>
      <c r="B182" s="32"/>
      <c r="C182" s="32"/>
      <c r="D182" s="32"/>
      <c r="E182" s="32"/>
      <c r="F182" s="32"/>
      <c r="G182" s="34">
        <f t="shared" si="2"/>
        <v>0</v>
      </c>
      <c r="H182" s="32"/>
      <c r="I182" s="32"/>
      <c r="J182" s="32"/>
    </row>
    <row r="183" spans="1:10" ht="19.5" customHeight="1" x14ac:dyDescent="0.3">
      <c r="A183" s="38" t="s">
        <v>909</v>
      </c>
      <c r="B183" s="36"/>
      <c r="C183" s="36"/>
      <c r="D183" s="36"/>
      <c r="E183" s="36"/>
      <c r="F183" s="36"/>
      <c r="G183" s="34">
        <f t="shared" si="2"/>
        <v>0</v>
      </c>
      <c r="H183" s="36"/>
      <c r="I183" s="36"/>
      <c r="J183" s="36"/>
    </row>
    <row r="184" spans="1:10" ht="19.5" customHeight="1" x14ac:dyDescent="0.3">
      <c r="A184" s="38" t="s">
        <v>910</v>
      </c>
      <c r="B184" s="32"/>
      <c r="C184" s="32"/>
      <c r="D184" s="32"/>
      <c r="E184" s="32"/>
      <c r="F184" s="32"/>
      <c r="G184" s="34">
        <f t="shared" si="2"/>
        <v>0</v>
      </c>
      <c r="H184" s="32"/>
      <c r="I184" s="32"/>
      <c r="J184" s="32"/>
    </row>
    <row r="185" spans="1:10" ht="19.5" customHeight="1" x14ac:dyDescent="0.3">
      <c r="A185" s="38" t="s">
        <v>911</v>
      </c>
      <c r="B185" s="36"/>
      <c r="C185" s="36"/>
      <c r="D185" s="36"/>
      <c r="E185" s="36"/>
      <c r="F185" s="36"/>
      <c r="G185" s="34">
        <f t="shared" si="2"/>
        <v>0</v>
      </c>
      <c r="H185" s="36"/>
      <c r="I185" s="36"/>
      <c r="J185" s="36"/>
    </row>
    <row r="186" spans="1:10" ht="19.5" customHeight="1" x14ac:dyDescent="0.3">
      <c r="A186" s="38" t="s">
        <v>912</v>
      </c>
      <c r="B186" s="32"/>
      <c r="C186" s="32"/>
      <c r="D186" s="32"/>
      <c r="E186" s="32"/>
      <c r="F186" s="32"/>
      <c r="G186" s="34">
        <f t="shared" si="2"/>
        <v>0</v>
      </c>
      <c r="H186" s="32"/>
      <c r="I186" s="32"/>
      <c r="J186" s="32"/>
    </row>
    <row r="187" spans="1:10" ht="19.5" customHeight="1" x14ac:dyDescent="0.3">
      <c r="A187" s="38" t="s">
        <v>913</v>
      </c>
      <c r="B187" s="36"/>
      <c r="C187" s="36"/>
      <c r="D187" s="36"/>
      <c r="E187" s="36"/>
      <c r="F187" s="36"/>
      <c r="G187" s="34">
        <f t="shared" si="2"/>
        <v>0</v>
      </c>
      <c r="H187" s="36"/>
      <c r="I187" s="36"/>
      <c r="J187" s="36"/>
    </row>
    <row r="188" spans="1:10" ht="19.5" customHeight="1" x14ac:dyDescent="0.3">
      <c r="A188" s="38" t="s">
        <v>914</v>
      </c>
      <c r="B188" s="32"/>
      <c r="C188" s="32"/>
      <c r="D188" s="32"/>
      <c r="E188" s="32"/>
      <c r="F188" s="32"/>
      <c r="G188" s="34">
        <f t="shared" si="2"/>
        <v>0</v>
      </c>
      <c r="H188" s="32"/>
      <c r="I188" s="32"/>
      <c r="J188" s="32"/>
    </row>
    <row r="189" spans="1:10" ht="19.5" customHeight="1" x14ac:dyDescent="0.3">
      <c r="A189" s="38" t="s">
        <v>915</v>
      </c>
      <c r="B189" s="36"/>
      <c r="C189" s="36"/>
      <c r="D189" s="36"/>
      <c r="E189" s="36"/>
      <c r="F189" s="36"/>
      <c r="G189" s="34">
        <f t="shared" si="2"/>
        <v>0</v>
      </c>
      <c r="H189" s="36"/>
      <c r="I189" s="36"/>
      <c r="J189" s="36"/>
    </row>
    <row r="190" spans="1:10" ht="19.5" customHeight="1" x14ac:dyDescent="0.3">
      <c r="A190" s="38" t="s">
        <v>916</v>
      </c>
      <c r="B190" s="32"/>
      <c r="C190" s="32"/>
      <c r="D190" s="32"/>
      <c r="E190" s="32"/>
      <c r="F190" s="32"/>
      <c r="G190" s="34">
        <f t="shared" si="2"/>
        <v>0</v>
      </c>
      <c r="H190" s="32"/>
      <c r="I190" s="32"/>
      <c r="J190" s="32"/>
    </row>
    <row r="191" spans="1:10" ht="19.5" customHeight="1" x14ac:dyDescent="0.3">
      <c r="A191" s="38" t="s">
        <v>917</v>
      </c>
      <c r="B191" s="36"/>
      <c r="C191" s="36"/>
      <c r="D191" s="36"/>
      <c r="E191" s="36"/>
      <c r="F191" s="36"/>
      <c r="G191" s="34">
        <f t="shared" si="2"/>
        <v>0</v>
      </c>
      <c r="H191" s="36"/>
      <c r="I191" s="36"/>
      <c r="J191" s="36"/>
    </row>
    <row r="192" spans="1:10" ht="19.5" customHeight="1" x14ac:dyDescent="0.3">
      <c r="A192" s="38" t="s">
        <v>918</v>
      </c>
      <c r="B192" s="32"/>
      <c r="C192" s="32"/>
      <c r="D192" s="32"/>
      <c r="E192" s="32"/>
      <c r="F192" s="32"/>
      <c r="G192" s="34">
        <f t="shared" si="2"/>
        <v>0</v>
      </c>
      <c r="H192" s="32"/>
      <c r="I192" s="32"/>
      <c r="J192" s="32"/>
    </row>
    <row r="193" spans="1:10" ht="19.5" customHeight="1" x14ac:dyDescent="0.3">
      <c r="A193" s="38" t="s">
        <v>919</v>
      </c>
      <c r="B193" s="36"/>
      <c r="C193" s="36"/>
      <c r="D193" s="36"/>
      <c r="E193" s="36"/>
      <c r="F193" s="36"/>
      <c r="G193" s="34">
        <f t="shared" si="2"/>
        <v>0</v>
      </c>
      <c r="H193" s="36"/>
      <c r="I193" s="36"/>
      <c r="J193" s="36"/>
    </row>
    <row r="194" spans="1:10" ht="19.5" customHeight="1" x14ac:dyDescent="0.3">
      <c r="A194" s="38" t="s">
        <v>920</v>
      </c>
      <c r="B194" s="32"/>
      <c r="C194" s="32"/>
      <c r="D194" s="32"/>
      <c r="E194" s="32"/>
      <c r="F194" s="32"/>
      <c r="G194" s="34">
        <f t="shared" si="2"/>
        <v>0</v>
      </c>
      <c r="H194" s="32"/>
      <c r="I194" s="32"/>
      <c r="J194" s="32"/>
    </row>
    <row r="195" spans="1:10" ht="19.5" customHeight="1" x14ac:dyDescent="0.3">
      <c r="A195" s="38" t="s">
        <v>921</v>
      </c>
      <c r="B195" s="36"/>
      <c r="C195" s="36"/>
      <c r="D195" s="36"/>
      <c r="E195" s="36"/>
      <c r="F195" s="36"/>
      <c r="G195" s="34">
        <f t="shared" si="2"/>
        <v>0</v>
      </c>
      <c r="H195" s="36"/>
      <c r="I195" s="36"/>
      <c r="J195" s="36"/>
    </row>
    <row r="196" spans="1:10" ht="19.5" customHeight="1" x14ac:dyDescent="0.3">
      <c r="A196" s="38" t="s">
        <v>922</v>
      </c>
      <c r="B196" s="32"/>
      <c r="C196" s="32"/>
      <c r="D196" s="32"/>
      <c r="E196" s="32"/>
      <c r="F196" s="32"/>
      <c r="G196" s="34">
        <f t="shared" si="2"/>
        <v>0</v>
      </c>
      <c r="H196" s="32"/>
      <c r="I196" s="32"/>
      <c r="J196" s="32"/>
    </row>
    <row r="197" spans="1:10" ht="19.5" customHeight="1" x14ac:dyDescent="0.3">
      <c r="A197" s="38" t="s">
        <v>923</v>
      </c>
      <c r="B197" s="36"/>
      <c r="C197" s="36"/>
      <c r="D197" s="36"/>
      <c r="E197" s="36"/>
      <c r="F197" s="36"/>
      <c r="G197" s="34">
        <f t="shared" ref="G197:G260" si="3">G196+E197-F197</f>
        <v>0</v>
      </c>
      <c r="H197" s="36"/>
      <c r="I197" s="36"/>
      <c r="J197" s="36"/>
    </row>
    <row r="198" spans="1:10" ht="19.5" customHeight="1" x14ac:dyDescent="0.3">
      <c r="A198" s="38" t="s">
        <v>924</v>
      </c>
      <c r="B198" s="32"/>
      <c r="C198" s="32"/>
      <c r="D198" s="32"/>
      <c r="E198" s="32"/>
      <c r="F198" s="32"/>
      <c r="G198" s="34">
        <f t="shared" si="3"/>
        <v>0</v>
      </c>
      <c r="H198" s="32"/>
      <c r="I198" s="32"/>
      <c r="J198" s="32"/>
    </row>
    <row r="199" spans="1:10" ht="19.5" customHeight="1" x14ac:dyDescent="0.3">
      <c r="A199" s="38" t="s">
        <v>925</v>
      </c>
      <c r="B199" s="36"/>
      <c r="C199" s="36"/>
      <c r="D199" s="36"/>
      <c r="E199" s="36"/>
      <c r="F199" s="36"/>
      <c r="G199" s="34">
        <f t="shared" si="3"/>
        <v>0</v>
      </c>
      <c r="H199" s="36"/>
      <c r="I199" s="36"/>
      <c r="J199" s="36"/>
    </row>
    <row r="200" spans="1:10" ht="19.5" customHeight="1" x14ac:dyDescent="0.3">
      <c r="A200" s="38" t="s">
        <v>926</v>
      </c>
      <c r="B200" s="32"/>
      <c r="C200" s="32"/>
      <c r="D200" s="32"/>
      <c r="E200" s="32"/>
      <c r="F200" s="32"/>
      <c r="G200" s="34">
        <f t="shared" si="3"/>
        <v>0</v>
      </c>
      <c r="H200" s="32"/>
      <c r="I200" s="32"/>
      <c r="J200" s="32"/>
    </row>
    <row r="201" spans="1:10" ht="19.5" customHeight="1" x14ac:dyDescent="0.3">
      <c r="A201" s="38" t="s">
        <v>927</v>
      </c>
      <c r="B201" s="36"/>
      <c r="C201" s="36"/>
      <c r="D201" s="36"/>
      <c r="E201" s="36"/>
      <c r="F201" s="36"/>
      <c r="G201" s="34">
        <f t="shared" si="3"/>
        <v>0</v>
      </c>
      <c r="H201" s="36"/>
      <c r="I201" s="36"/>
      <c r="J201" s="36"/>
    </row>
    <row r="202" spans="1:10" ht="19.5" customHeight="1" x14ac:dyDescent="0.3">
      <c r="A202" s="38" t="s">
        <v>928</v>
      </c>
      <c r="B202" s="32"/>
      <c r="C202" s="32"/>
      <c r="D202" s="32"/>
      <c r="E202" s="32"/>
      <c r="F202" s="32"/>
      <c r="G202" s="34">
        <f t="shared" si="3"/>
        <v>0</v>
      </c>
      <c r="H202" s="32"/>
      <c r="I202" s="32"/>
      <c r="J202" s="32"/>
    </row>
    <row r="203" spans="1:10" ht="19.5" customHeight="1" x14ac:dyDescent="0.3">
      <c r="A203" s="38" t="s">
        <v>929</v>
      </c>
      <c r="B203" s="36"/>
      <c r="C203" s="36"/>
      <c r="D203" s="36"/>
      <c r="E203" s="36"/>
      <c r="F203" s="36"/>
      <c r="G203" s="34">
        <f t="shared" si="3"/>
        <v>0</v>
      </c>
      <c r="H203" s="36"/>
      <c r="I203" s="36"/>
      <c r="J203" s="36"/>
    </row>
    <row r="204" spans="1:10" ht="19.5" customHeight="1" x14ac:dyDescent="0.3">
      <c r="A204" s="38" t="s">
        <v>930</v>
      </c>
      <c r="B204" s="32"/>
      <c r="C204" s="32"/>
      <c r="D204" s="32"/>
      <c r="E204" s="32"/>
      <c r="F204" s="32"/>
      <c r="G204" s="34">
        <f t="shared" si="3"/>
        <v>0</v>
      </c>
      <c r="H204" s="32"/>
      <c r="I204" s="32"/>
      <c r="J204" s="32"/>
    </row>
    <row r="205" spans="1:10" ht="19.5" customHeight="1" x14ac:dyDescent="0.3">
      <c r="A205" s="38" t="s">
        <v>931</v>
      </c>
      <c r="B205" s="36"/>
      <c r="C205" s="36"/>
      <c r="D205" s="36"/>
      <c r="E205" s="36"/>
      <c r="F205" s="36"/>
      <c r="G205" s="34">
        <f t="shared" si="3"/>
        <v>0</v>
      </c>
      <c r="H205" s="36"/>
      <c r="I205" s="36"/>
      <c r="J205" s="36"/>
    </row>
    <row r="206" spans="1:10" ht="19.5" customHeight="1" x14ac:dyDescent="0.3">
      <c r="A206" s="38" t="s">
        <v>932</v>
      </c>
      <c r="B206" s="32"/>
      <c r="C206" s="32"/>
      <c r="D206" s="32"/>
      <c r="E206" s="32"/>
      <c r="F206" s="32"/>
      <c r="G206" s="34">
        <f t="shared" si="3"/>
        <v>0</v>
      </c>
      <c r="H206" s="32"/>
      <c r="I206" s="32"/>
      <c r="J206" s="32"/>
    </row>
    <row r="207" spans="1:10" ht="19.5" customHeight="1" x14ac:dyDescent="0.3">
      <c r="A207" s="38" t="s">
        <v>933</v>
      </c>
      <c r="B207" s="36"/>
      <c r="C207" s="36"/>
      <c r="D207" s="36"/>
      <c r="E207" s="36"/>
      <c r="F207" s="36"/>
      <c r="G207" s="34">
        <f t="shared" si="3"/>
        <v>0</v>
      </c>
      <c r="H207" s="36"/>
      <c r="I207" s="36"/>
      <c r="J207" s="36"/>
    </row>
    <row r="208" spans="1:10" ht="19.5" customHeight="1" x14ac:dyDescent="0.3">
      <c r="A208" s="38" t="s">
        <v>934</v>
      </c>
      <c r="B208" s="32"/>
      <c r="C208" s="32"/>
      <c r="D208" s="32"/>
      <c r="E208" s="32"/>
      <c r="F208" s="32"/>
      <c r="G208" s="34">
        <f t="shared" si="3"/>
        <v>0</v>
      </c>
      <c r="H208" s="32"/>
      <c r="I208" s="32"/>
      <c r="J208" s="32"/>
    </row>
    <row r="209" spans="1:10" ht="19.5" customHeight="1" x14ac:dyDescent="0.3">
      <c r="A209" s="38" t="s">
        <v>935</v>
      </c>
      <c r="B209" s="36"/>
      <c r="C209" s="36"/>
      <c r="D209" s="36"/>
      <c r="E209" s="36"/>
      <c r="F209" s="36"/>
      <c r="G209" s="34">
        <f t="shared" si="3"/>
        <v>0</v>
      </c>
      <c r="H209" s="36"/>
      <c r="I209" s="36"/>
      <c r="J209" s="36"/>
    </row>
    <row r="210" spans="1:10" ht="19.5" customHeight="1" x14ac:dyDescent="0.3">
      <c r="A210" s="38" t="s">
        <v>936</v>
      </c>
      <c r="B210" s="32"/>
      <c r="C210" s="32"/>
      <c r="D210" s="32"/>
      <c r="E210" s="32"/>
      <c r="F210" s="32"/>
      <c r="G210" s="34">
        <f t="shared" si="3"/>
        <v>0</v>
      </c>
      <c r="H210" s="32"/>
      <c r="I210" s="32"/>
      <c r="J210" s="32"/>
    </row>
    <row r="211" spans="1:10" ht="19.5" customHeight="1" x14ac:dyDescent="0.3">
      <c r="A211" s="38" t="s">
        <v>937</v>
      </c>
      <c r="B211" s="36"/>
      <c r="C211" s="36"/>
      <c r="D211" s="36"/>
      <c r="E211" s="36"/>
      <c r="F211" s="36"/>
      <c r="G211" s="34">
        <f t="shared" si="3"/>
        <v>0</v>
      </c>
      <c r="H211" s="36"/>
      <c r="I211" s="36"/>
      <c r="J211" s="36"/>
    </row>
    <row r="212" spans="1:10" ht="19.5" customHeight="1" x14ac:dyDescent="0.3">
      <c r="A212" s="38" t="s">
        <v>938</v>
      </c>
      <c r="B212" s="32"/>
      <c r="C212" s="32"/>
      <c r="D212" s="32"/>
      <c r="E212" s="32"/>
      <c r="F212" s="32"/>
      <c r="G212" s="34">
        <f t="shared" si="3"/>
        <v>0</v>
      </c>
      <c r="H212" s="32"/>
      <c r="I212" s="32"/>
      <c r="J212" s="32"/>
    </row>
    <row r="213" spans="1:10" ht="19.5" customHeight="1" x14ac:dyDescent="0.3">
      <c r="A213" s="38" t="s">
        <v>939</v>
      </c>
      <c r="B213" s="36"/>
      <c r="C213" s="36"/>
      <c r="D213" s="36"/>
      <c r="E213" s="36"/>
      <c r="F213" s="36"/>
      <c r="G213" s="34">
        <f t="shared" si="3"/>
        <v>0</v>
      </c>
      <c r="H213" s="36"/>
      <c r="I213" s="36"/>
      <c r="J213" s="36"/>
    </row>
    <row r="214" spans="1:10" ht="19.5" customHeight="1" x14ac:dyDescent="0.3">
      <c r="A214" s="38" t="s">
        <v>940</v>
      </c>
      <c r="B214" s="32"/>
      <c r="C214" s="32"/>
      <c r="D214" s="32"/>
      <c r="E214" s="32"/>
      <c r="F214" s="32"/>
      <c r="G214" s="34">
        <f t="shared" si="3"/>
        <v>0</v>
      </c>
      <c r="H214" s="32"/>
      <c r="I214" s="32"/>
      <c r="J214" s="32"/>
    </row>
    <row r="215" spans="1:10" ht="19.5" customHeight="1" x14ac:dyDescent="0.3">
      <c r="A215" s="38" t="s">
        <v>941</v>
      </c>
      <c r="B215" s="36"/>
      <c r="C215" s="36"/>
      <c r="D215" s="36"/>
      <c r="E215" s="36"/>
      <c r="F215" s="36"/>
      <c r="G215" s="34">
        <f t="shared" si="3"/>
        <v>0</v>
      </c>
      <c r="H215" s="36"/>
      <c r="I215" s="36"/>
      <c r="J215" s="36"/>
    </row>
    <row r="216" spans="1:10" ht="19.5" customHeight="1" x14ac:dyDescent="0.3">
      <c r="A216" s="38" t="s">
        <v>942</v>
      </c>
      <c r="B216" s="32"/>
      <c r="C216" s="32"/>
      <c r="D216" s="32"/>
      <c r="E216" s="32"/>
      <c r="F216" s="32"/>
      <c r="G216" s="34">
        <f t="shared" si="3"/>
        <v>0</v>
      </c>
      <c r="H216" s="32"/>
      <c r="I216" s="32"/>
      <c r="J216" s="32"/>
    </row>
    <row r="217" spans="1:10" ht="19.5" customHeight="1" x14ac:dyDescent="0.3">
      <c r="A217" s="38" t="s">
        <v>943</v>
      </c>
      <c r="B217" s="36"/>
      <c r="C217" s="36"/>
      <c r="D217" s="36"/>
      <c r="E217" s="36"/>
      <c r="F217" s="36"/>
      <c r="G217" s="34">
        <f t="shared" si="3"/>
        <v>0</v>
      </c>
      <c r="H217" s="36"/>
      <c r="I217" s="36"/>
      <c r="J217" s="36"/>
    </row>
    <row r="218" spans="1:10" ht="19.5" customHeight="1" x14ac:dyDescent="0.3">
      <c r="A218" s="38" t="s">
        <v>944</v>
      </c>
      <c r="B218" s="32"/>
      <c r="C218" s="32"/>
      <c r="D218" s="32"/>
      <c r="E218" s="32"/>
      <c r="F218" s="32"/>
      <c r="G218" s="34">
        <f t="shared" si="3"/>
        <v>0</v>
      </c>
      <c r="H218" s="32"/>
      <c r="I218" s="32"/>
      <c r="J218" s="32"/>
    </row>
    <row r="219" spans="1:10" ht="19.5" customHeight="1" x14ac:dyDescent="0.3">
      <c r="A219" s="38" t="s">
        <v>945</v>
      </c>
      <c r="B219" s="36"/>
      <c r="C219" s="36"/>
      <c r="D219" s="36"/>
      <c r="E219" s="36"/>
      <c r="F219" s="36"/>
      <c r="G219" s="34">
        <f t="shared" si="3"/>
        <v>0</v>
      </c>
      <c r="H219" s="36"/>
      <c r="I219" s="36"/>
      <c r="J219" s="36"/>
    </row>
    <row r="220" spans="1:10" ht="19.5" customHeight="1" x14ac:dyDescent="0.3">
      <c r="A220" s="38" t="s">
        <v>946</v>
      </c>
      <c r="B220" s="32"/>
      <c r="C220" s="32"/>
      <c r="D220" s="32"/>
      <c r="E220" s="32"/>
      <c r="F220" s="32"/>
      <c r="G220" s="34">
        <f t="shared" si="3"/>
        <v>0</v>
      </c>
      <c r="H220" s="32"/>
      <c r="I220" s="32"/>
      <c r="J220" s="32"/>
    </row>
    <row r="221" spans="1:10" ht="19.5" customHeight="1" x14ac:dyDescent="0.3">
      <c r="A221" s="38" t="s">
        <v>947</v>
      </c>
      <c r="B221" s="36"/>
      <c r="C221" s="36"/>
      <c r="D221" s="36"/>
      <c r="E221" s="36"/>
      <c r="F221" s="36"/>
      <c r="G221" s="34">
        <f t="shared" si="3"/>
        <v>0</v>
      </c>
      <c r="H221" s="36"/>
      <c r="I221" s="36"/>
      <c r="J221" s="36"/>
    </row>
    <row r="222" spans="1:10" ht="19.5" customHeight="1" x14ac:dyDescent="0.3">
      <c r="A222" s="38" t="s">
        <v>948</v>
      </c>
      <c r="B222" s="32"/>
      <c r="C222" s="32"/>
      <c r="D222" s="32"/>
      <c r="E222" s="32"/>
      <c r="F222" s="32"/>
      <c r="G222" s="34">
        <f t="shared" si="3"/>
        <v>0</v>
      </c>
      <c r="H222" s="32"/>
      <c r="I222" s="32"/>
      <c r="J222" s="32"/>
    </row>
    <row r="223" spans="1:10" ht="19.5" customHeight="1" x14ac:dyDescent="0.3">
      <c r="A223" s="38" t="s">
        <v>949</v>
      </c>
      <c r="B223" s="36"/>
      <c r="C223" s="36"/>
      <c r="D223" s="36"/>
      <c r="E223" s="36"/>
      <c r="F223" s="36"/>
      <c r="G223" s="34">
        <f t="shared" si="3"/>
        <v>0</v>
      </c>
      <c r="H223" s="36"/>
      <c r="I223" s="36"/>
      <c r="J223" s="36"/>
    </row>
    <row r="224" spans="1:10" ht="19.5" customHeight="1" x14ac:dyDescent="0.3">
      <c r="A224" s="38" t="s">
        <v>950</v>
      </c>
      <c r="B224" s="32"/>
      <c r="C224" s="32"/>
      <c r="D224" s="32"/>
      <c r="E224" s="32"/>
      <c r="F224" s="32"/>
      <c r="G224" s="34">
        <f t="shared" si="3"/>
        <v>0</v>
      </c>
      <c r="H224" s="32"/>
      <c r="I224" s="32"/>
      <c r="J224" s="32"/>
    </row>
    <row r="225" spans="1:10" ht="19.5" customHeight="1" x14ac:dyDescent="0.3">
      <c r="A225" s="38" t="s">
        <v>951</v>
      </c>
      <c r="B225" s="36"/>
      <c r="C225" s="36"/>
      <c r="D225" s="36"/>
      <c r="E225" s="36"/>
      <c r="F225" s="36"/>
      <c r="G225" s="34">
        <f t="shared" si="3"/>
        <v>0</v>
      </c>
      <c r="H225" s="36"/>
      <c r="I225" s="36"/>
      <c r="J225" s="36"/>
    </row>
    <row r="226" spans="1:10" ht="19.5" customHeight="1" x14ac:dyDescent="0.3">
      <c r="A226" s="38" t="s">
        <v>952</v>
      </c>
      <c r="B226" s="32"/>
      <c r="C226" s="32"/>
      <c r="D226" s="32"/>
      <c r="E226" s="32"/>
      <c r="F226" s="32"/>
      <c r="G226" s="34">
        <f t="shared" si="3"/>
        <v>0</v>
      </c>
      <c r="H226" s="32"/>
      <c r="I226" s="32"/>
      <c r="J226" s="32"/>
    </row>
    <row r="227" spans="1:10" ht="19.5" customHeight="1" x14ac:dyDescent="0.3">
      <c r="A227" s="38" t="s">
        <v>953</v>
      </c>
      <c r="B227" s="36"/>
      <c r="C227" s="36"/>
      <c r="D227" s="36"/>
      <c r="E227" s="36"/>
      <c r="F227" s="36"/>
      <c r="G227" s="34">
        <f t="shared" si="3"/>
        <v>0</v>
      </c>
      <c r="H227" s="36"/>
      <c r="I227" s="36"/>
      <c r="J227" s="36"/>
    </row>
    <row r="228" spans="1:10" ht="19.5" customHeight="1" x14ac:dyDescent="0.3">
      <c r="A228" s="38" t="s">
        <v>954</v>
      </c>
      <c r="B228" s="32"/>
      <c r="C228" s="32"/>
      <c r="D228" s="32"/>
      <c r="E228" s="32"/>
      <c r="F228" s="32"/>
      <c r="G228" s="34">
        <f t="shared" si="3"/>
        <v>0</v>
      </c>
      <c r="H228" s="32"/>
      <c r="I228" s="32"/>
      <c r="J228" s="32"/>
    </row>
    <row r="229" spans="1:10" ht="19.5" customHeight="1" x14ac:dyDescent="0.3">
      <c r="A229" s="38" t="s">
        <v>955</v>
      </c>
      <c r="B229" s="36"/>
      <c r="C229" s="36"/>
      <c r="D229" s="36"/>
      <c r="E229" s="36"/>
      <c r="F229" s="36"/>
      <c r="G229" s="34">
        <f t="shared" si="3"/>
        <v>0</v>
      </c>
      <c r="H229" s="36"/>
      <c r="I229" s="36"/>
      <c r="J229" s="36"/>
    </row>
    <row r="230" spans="1:10" ht="19.5" customHeight="1" x14ac:dyDescent="0.3">
      <c r="A230" s="38" t="s">
        <v>956</v>
      </c>
      <c r="B230" s="32"/>
      <c r="C230" s="32"/>
      <c r="D230" s="32"/>
      <c r="E230" s="32"/>
      <c r="F230" s="32"/>
      <c r="G230" s="34">
        <f t="shared" si="3"/>
        <v>0</v>
      </c>
      <c r="H230" s="32"/>
      <c r="I230" s="32"/>
      <c r="J230" s="32"/>
    </row>
    <row r="231" spans="1:10" ht="19.5" customHeight="1" x14ac:dyDescent="0.3">
      <c r="A231" s="38" t="s">
        <v>957</v>
      </c>
      <c r="B231" s="36"/>
      <c r="C231" s="36"/>
      <c r="D231" s="36"/>
      <c r="E231" s="36"/>
      <c r="F231" s="36"/>
      <c r="G231" s="34">
        <f t="shared" si="3"/>
        <v>0</v>
      </c>
      <c r="H231" s="36"/>
      <c r="I231" s="36"/>
      <c r="J231" s="36"/>
    </row>
    <row r="232" spans="1:10" ht="19.5" customHeight="1" x14ac:dyDescent="0.3">
      <c r="A232" s="38" t="s">
        <v>958</v>
      </c>
      <c r="B232" s="32"/>
      <c r="C232" s="32"/>
      <c r="D232" s="32"/>
      <c r="E232" s="32"/>
      <c r="F232" s="32"/>
      <c r="G232" s="34">
        <f t="shared" si="3"/>
        <v>0</v>
      </c>
      <c r="H232" s="32"/>
      <c r="I232" s="32"/>
      <c r="J232" s="32"/>
    </row>
    <row r="233" spans="1:10" ht="19.5" customHeight="1" x14ac:dyDescent="0.3">
      <c r="A233" s="38" t="s">
        <v>959</v>
      </c>
      <c r="B233" s="36"/>
      <c r="C233" s="36"/>
      <c r="D233" s="36"/>
      <c r="E233" s="36"/>
      <c r="F233" s="36"/>
      <c r="G233" s="34">
        <f t="shared" si="3"/>
        <v>0</v>
      </c>
      <c r="H233" s="36"/>
      <c r="I233" s="36"/>
      <c r="J233" s="36"/>
    </row>
    <row r="234" spans="1:10" ht="19.5" customHeight="1" x14ac:dyDescent="0.3">
      <c r="A234" s="38" t="s">
        <v>960</v>
      </c>
      <c r="B234" s="32"/>
      <c r="C234" s="32"/>
      <c r="D234" s="32"/>
      <c r="E234" s="32"/>
      <c r="F234" s="32"/>
      <c r="G234" s="34">
        <f t="shared" si="3"/>
        <v>0</v>
      </c>
      <c r="H234" s="32"/>
      <c r="I234" s="32"/>
      <c r="J234" s="32"/>
    </row>
    <row r="235" spans="1:10" ht="19.5" customHeight="1" x14ac:dyDescent="0.3">
      <c r="A235" s="38" t="s">
        <v>961</v>
      </c>
      <c r="B235" s="36"/>
      <c r="C235" s="36"/>
      <c r="D235" s="36"/>
      <c r="E235" s="36"/>
      <c r="F235" s="36"/>
      <c r="G235" s="34">
        <f t="shared" si="3"/>
        <v>0</v>
      </c>
      <c r="H235" s="36"/>
      <c r="I235" s="36"/>
      <c r="J235" s="36"/>
    </row>
    <row r="236" spans="1:10" ht="19.5" customHeight="1" x14ac:dyDescent="0.3">
      <c r="A236" s="38" t="s">
        <v>962</v>
      </c>
      <c r="B236" s="32"/>
      <c r="C236" s="32"/>
      <c r="D236" s="32"/>
      <c r="E236" s="32"/>
      <c r="F236" s="32"/>
      <c r="G236" s="34">
        <f t="shared" si="3"/>
        <v>0</v>
      </c>
      <c r="H236" s="32"/>
      <c r="I236" s="32"/>
      <c r="J236" s="32"/>
    </row>
    <row r="237" spans="1:10" ht="19.5" customHeight="1" x14ac:dyDescent="0.3">
      <c r="A237" s="38" t="s">
        <v>963</v>
      </c>
      <c r="B237" s="36"/>
      <c r="C237" s="36"/>
      <c r="D237" s="36"/>
      <c r="E237" s="36"/>
      <c r="F237" s="36"/>
      <c r="G237" s="34">
        <f t="shared" si="3"/>
        <v>0</v>
      </c>
      <c r="H237" s="36"/>
      <c r="I237" s="36"/>
      <c r="J237" s="36"/>
    </row>
    <row r="238" spans="1:10" ht="19.5" customHeight="1" x14ac:dyDescent="0.3">
      <c r="A238" s="38" t="s">
        <v>964</v>
      </c>
      <c r="B238" s="32"/>
      <c r="C238" s="32"/>
      <c r="D238" s="32"/>
      <c r="E238" s="32"/>
      <c r="F238" s="32"/>
      <c r="G238" s="34">
        <f t="shared" si="3"/>
        <v>0</v>
      </c>
      <c r="H238" s="32"/>
      <c r="I238" s="32"/>
      <c r="J238" s="32"/>
    </row>
    <row r="239" spans="1:10" ht="19.5" customHeight="1" x14ac:dyDescent="0.3">
      <c r="A239" s="38" t="s">
        <v>965</v>
      </c>
      <c r="B239" s="36"/>
      <c r="C239" s="36"/>
      <c r="D239" s="36"/>
      <c r="E239" s="36"/>
      <c r="F239" s="36"/>
      <c r="G239" s="34">
        <f t="shared" si="3"/>
        <v>0</v>
      </c>
      <c r="H239" s="36"/>
      <c r="I239" s="36"/>
      <c r="J239" s="36"/>
    </row>
    <row r="240" spans="1:10" ht="19.5" customHeight="1" x14ac:dyDescent="0.3">
      <c r="A240" s="38" t="s">
        <v>966</v>
      </c>
      <c r="B240" s="32"/>
      <c r="C240" s="32"/>
      <c r="D240" s="32"/>
      <c r="E240" s="32"/>
      <c r="F240" s="32"/>
      <c r="G240" s="34">
        <f t="shared" si="3"/>
        <v>0</v>
      </c>
      <c r="H240" s="32"/>
      <c r="I240" s="32"/>
      <c r="J240" s="32"/>
    </row>
    <row r="241" spans="1:10" ht="19.5" customHeight="1" x14ac:dyDescent="0.3">
      <c r="A241" s="38" t="s">
        <v>967</v>
      </c>
      <c r="B241" s="36"/>
      <c r="C241" s="36"/>
      <c r="D241" s="36"/>
      <c r="E241" s="36"/>
      <c r="F241" s="36"/>
      <c r="G241" s="34">
        <f t="shared" si="3"/>
        <v>0</v>
      </c>
      <c r="H241" s="36"/>
      <c r="I241" s="36"/>
      <c r="J241" s="36"/>
    </row>
    <row r="242" spans="1:10" ht="19.5" customHeight="1" x14ac:dyDescent="0.3">
      <c r="A242" s="38" t="s">
        <v>968</v>
      </c>
      <c r="B242" s="32"/>
      <c r="C242" s="32"/>
      <c r="D242" s="32"/>
      <c r="E242" s="32"/>
      <c r="F242" s="32"/>
      <c r="G242" s="34">
        <f t="shared" si="3"/>
        <v>0</v>
      </c>
      <c r="H242" s="32"/>
      <c r="I242" s="32"/>
      <c r="J242" s="32"/>
    </row>
    <row r="243" spans="1:10" ht="19.5" customHeight="1" x14ac:dyDescent="0.3">
      <c r="A243" s="38" t="s">
        <v>969</v>
      </c>
      <c r="B243" s="36"/>
      <c r="C243" s="36"/>
      <c r="D243" s="36"/>
      <c r="E243" s="36"/>
      <c r="F243" s="36"/>
      <c r="G243" s="34">
        <f t="shared" si="3"/>
        <v>0</v>
      </c>
      <c r="H243" s="36"/>
      <c r="I243" s="36"/>
      <c r="J243" s="36"/>
    </row>
    <row r="244" spans="1:10" ht="19.5" customHeight="1" x14ac:dyDescent="0.3">
      <c r="A244" s="38" t="s">
        <v>970</v>
      </c>
      <c r="B244" s="32"/>
      <c r="C244" s="32"/>
      <c r="D244" s="32"/>
      <c r="E244" s="32"/>
      <c r="F244" s="32"/>
      <c r="G244" s="34">
        <f t="shared" si="3"/>
        <v>0</v>
      </c>
      <c r="H244" s="32"/>
      <c r="I244" s="32"/>
      <c r="J244" s="32"/>
    </row>
    <row r="245" spans="1:10" ht="19.5" customHeight="1" x14ac:dyDescent="0.3">
      <c r="A245" s="38" t="s">
        <v>971</v>
      </c>
      <c r="B245" s="36"/>
      <c r="C245" s="36"/>
      <c r="D245" s="36"/>
      <c r="E245" s="36"/>
      <c r="F245" s="36"/>
      <c r="G245" s="34">
        <f t="shared" si="3"/>
        <v>0</v>
      </c>
      <c r="H245" s="36"/>
      <c r="I245" s="36"/>
      <c r="J245" s="36"/>
    </row>
    <row r="246" spans="1:10" ht="19.5" customHeight="1" x14ac:dyDescent="0.3">
      <c r="A246" s="38" t="s">
        <v>972</v>
      </c>
      <c r="B246" s="32"/>
      <c r="C246" s="32"/>
      <c r="D246" s="32"/>
      <c r="E246" s="32"/>
      <c r="F246" s="32"/>
      <c r="G246" s="34">
        <f t="shared" si="3"/>
        <v>0</v>
      </c>
      <c r="H246" s="32"/>
      <c r="I246" s="32"/>
      <c r="J246" s="32"/>
    </row>
    <row r="247" spans="1:10" ht="19.5" customHeight="1" x14ac:dyDescent="0.3">
      <c r="A247" s="38" t="s">
        <v>973</v>
      </c>
      <c r="B247" s="36"/>
      <c r="C247" s="36"/>
      <c r="D247" s="36"/>
      <c r="E247" s="36"/>
      <c r="F247" s="36"/>
      <c r="G247" s="34">
        <f t="shared" si="3"/>
        <v>0</v>
      </c>
      <c r="H247" s="36"/>
      <c r="I247" s="36"/>
      <c r="J247" s="36"/>
    </row>
    <row r="248" spans="1:10" ht="19.5" customHeight="1" x14ac:dyDescent="0.3">
      <c r="A248" s="38" t="s">
        <v>974</v>
      </c>
      <c r="B248" s="32"/>
      <c r="C248" s="32"/>
      <c r="D248" s="32"/>
      <c r="E248" s="32"/>
      <c r="F248" s="32"/>
      <c r="G248" s="34">
        <f t="shared" si="3"/>
        <v>0</v>
      </c>
      <c r="H248" s="32"/>
      <c r="I248" s="32"/>
      <c r="J248" s="32"/>
    </row>
    <row r="249" spans="1:10" ht="19.5" customHeight="1" x14ac:dyDescent="0.3">
      <c r="A249" s="38" t="s">
        <v>975</v>
      </c>
      <c r="B249" s="36"/>
      <c r="C249" s="36"/>
      <c r="D249" s="36"/>
      <c r="E249" s="36"/>
      <c r="F249" s="36"/>
      <c r="G249" s="34">
        <f t="shared" si="3"/>
        <v>0</v>
      </c>
      <c r="H249" s="36"/>
      <c r="I249" s="36"/>
      <c r="J249" s="36"/>
    </row>
    <row r="250" spans="1:10" ht="19.5" customHeight="1" x14ac:dyDescent="0.3">
      <c r="A250" s="38" t="s">
        <v>976</v>
      </c>
      <c r="B250" s="32"/>
      <c r="C250" s="32"/>
      <c r="D250" s="32"/>
      <c r="E250" s="32"/>
      <c r="F250" s="32"/>
      <c r="G250" s="34">
        <f t="shared" si="3"/>
        <v>0</v>
      </c>
      <c r="H250" s="32"/>
      <c r="I250" s="32"/>
      <c r="J250" s="32"/>
    </row>
    <row r="251" spans="1:10" ht="19.5" customHeight="1" x14ac:dyDescent="0.3">
      <c r="A251" s="38" t="s">
        <v>977</v>
      </c>
      <c r="B251" s="36"/>
      <c r="C251" s="36"/>
      <c r="D251" s="36"/>
      <c r="E251" s="36"/>
      <c r="F251" s="36"/>
      <c r="G251" s="34">
        <f t="shared" si="3"/>
        <v>0</v>
      </c>
      <c r="H251" s="36"/>
      <c r="I251" s="36"/>
      <c r="J251" s="36"/>
    </row>
    <row r="252" spans="1:10" ht="19.5" customHeight="1" x14ac:dyDescent="0.3">
      <c r="A252" s="38" t="s">
        <v>978</v>
      </c>
      <c r="B252" s="32"/>
      <c r="C252" s="32"/>
      <c r="D252" s="32"/>
      <c r="E252" s="32"/>
      <c r="F252" s="32"/>
      <c r="G252" s="34">
        <f t="shared" si="3"/>
        <v>0</v>
      </c>
      <c r="H252" s="32"/>
      <c r="I252" s="32"/>
      <c r="J252" s="32"/>
    </row>
    <row r="253" spans="1:10" ht="19.5" customHeight="1" x14ac:dyDescent="0.3">
      <c r="A253" s="38" t="s">
        <v>979</v>
      </c>
      <c r="B253" s="36"/>
      <c r="C253" s="36"/>
      <c r="D253" s="36"/>
      <c r="E253" s="36"/>
      <c r="F253" s="36"/>
      <c r="G253" s="34">
        <f t="shared" si="3"/>
        <v>0</v>
      </c>
      <c r="H253" s="36"/>
      <c r="I253" s="36"/>
      <c r="J253" s="36"/>
    </row>
    <row r="254" spans="1:10" ht="19.5" customHeight="1" x14ac:dyDescent="0.3">
      <c r="A254" s="38" t="s">
        <v>980</v>
      </c>
      <c r="B254" s="32"/>
      <c r="C254" s="32"/>
      <c r="D254" s="32"/>
      <c r="E254" s="32"/>
      <c r="F254" s="32"/>
      <c r="G254" s="34">
        <f t="shared" si="3"/>
        <v>0</v>
      </c>
      <c r="H254" s="32"/>
      <c r="I254" s="32"/>
      <c r="J254" s="32"/>
    </row>
    <row r="255" spans="1:10" ht="19.5" customHeight="1" x14ac:dyDescent="0.3">
      <c r="A255" s="38" t="s">
        <v>981</v>
      </c>
      <c r="B255" s="36"/>
      <c r="C255" s="36"/>
      <c r="D255" s="36"/>
      <c r="E255" s="36"/>
      <c r="F255" s="36"/>
      <c r="G255" s="34">
        <f t="shared" si="3"/>
        <v>0</v>
      </c>
      <c r="H255" s="36"/>
      <c r="I255" s="36"/>
      <c r="J255" s="36"/>
    </row>
    <row r="256" spans="1:10" ht="19.5" customHeight="1" x14ac:dyDescent="0.3">
      <c r="A256" s="38" t="s">
        <v>982</v>
      </c>
      <c r="B256" s="32"/>
      <c r="C256" s="32"/>
      <c r="D256" s="32"/>
      <c r="E256" s="32"/>
      <c r="F256" s="32"/>
      <c r="G256" s="34">
        <f t="shared" si="3"/>
        <v>0</v>
      </c>
      <c r="H256" s="32"/>
      <c r="I256" s="32"/>
      <c r="J256" s="32"/>
    </row>
    <row r="257" spans="1:10" ht="19.5" customHeight="1" x14ac:dyDescent="0.3">
      <c r="A257" s="38" t="s">
        <v>983</v>
      </c>
      <c r="B257" s="36"/>
      <c r="C257" s="36"/>
      <c r="D257" s="36"/>
      <c r="E257" s="36"/>
      <c r="F257" s="36"/>
      <c r="G257" s="34">
        <f t="shared" si="3"/>
        <v>0</v>
      </c>
      <c r="H257" s="36"/>
      <c r="I257" s="36"/>
      <c r="J257" s="36"/>
    </row>
    <row r="258" spans="1:10" ht="19.5" customHeight="1" x14ac:dyDescent="0.3">
      <c r="A258" s="38" t="s">
        <v>984</v>
      </c>
      <c r="B258" s="32"/>
      <c r="C258" s="32"/>
      <c r="D258" s="32"/>
      <c r="E258" s="32"/>
      <c r="F258" s="32"/>
      <c r="G258" s="34">
        <f t="shared" si="3"/>
        <v>0</v>
      </c>
      <c r="H258" s="32"/>
      <c r="I258" s="32"/>
      <c r="J258" s="32"/>
    </row>
    <row r="259" spans="1:10" ht="19.5" customHeight="1" x14ac:dyDescent="0.3">
      <c r="A259" s="38" t="s">
        <v>985</v>
      </c>
      <c r="B259" s="36"/>
      <c r="C259" s="36"/>
      <c r="D259" s="36"/>
      <c r="E259" s="36"/>
      <c r="F259" s="36"/>
      <c r="G259" s="34">
        <f t="shared" si="3"/>
        <v>0</v>
      </c>
      <c r="H259" s="36"/>
      <c r="I259" s="36"/>
      <c r="J259" s="36"/>
    </row>
    <row r="260" spans="1:10" ht="19.5" customHeight="1" x14ac:dyDescent="0.3">
      <c r="A260" s="38" t="s">
        <v>986</v>
      </c>
      <c r="B260" s="32"/>
      <c r="C260" s="32"/>
      <c r="D260" s="32"/>
      <c r="E260" s="32"/>
      <c r="F260" s="32"/>
      <c r="G260" s="34">
        <f t="shared" si="3"/>
        <v>0</v>
      </c>
      <c r="H260" s="32"/>
      <c r="I260" s="32"/>
      <c r="J260" s="32"/>
    </row>
    <row r="261" spans="1:10" ht="19.5" customHeight="1" x14ac:dyDescent="0.3">
      <c r="A261" s="38" t="s">
        <v>987</v>
      </c>
      <c r="B261" s="36"/>
      <c r="C261" s="36"/>
      <c r="D261" s="36"/>
      <c r="E261" s="36"/>
      <c r="F261" s="36"/>
      <c r="G261" s="34">
        <f t="shared" ref="G261:G324" si="4">G260+E261-F261</f>
        <v>0</v>
      </c>
      <c r="H261" s="36"/>
      <c r="I261" s="36"/>
      <c r="J261" s="36"/>
    </row>
    <row r="262" spans="1:10" ht="19.5" customHeight="1" x14ac:dyDescent="0.3">
      <c r="A262" s="38" t="s">
        <v>988</v>
      </c>
      <c r="B262" s="32"/>
      <c r="C262" s="32"/>
      <c r="D262" s="32"/>
      <c r="E262" s="32"/>
      <c r="F262" s="32"/>
      <c r="G262" s="34">
        <f t="shared" si="4"/>
        <v>0</v>
      </c>
      <c r="H262" s="32"/>
      <c r="I262" s="32"/>
      <c r="J262" s="32"/>
    </row>
    <row r="263" spans="1:10" ht="19.5" customHeight="1" x14ac:dyDescent="0.3">
      <c r="A263" s="38" t="s">
        <v>989</v>
      </c>
      <c r="B263" s="36"/>
      <c r="C263" s="36"/>
      <c r="D263" s="36"/>
      <c r="E263" s="36"/>
      <c r="F263" s="36"/>
      <c r="G263" s="34">
        <f t="shared" si="4"/>
        <v>0</v>
      </c>
      <c r="H263" s="36"/>
      <c r="I263" s="36"/>
      <c r="J263" s="36"/>
    </row>
    <row r="264" spans="1:10" ht="19.5" customHeight="1" x14ac:dyDescent="0.3">
      <c r="A264" s="38" t="s">
        <v>990</v>
      </c>
      <c r="B264" s="32"/>
      <c r="C264" s="32"/>
      <c r="D264" s="32"/>
      <c r="E264" s="32"/>
      <c r="F264" s="32"/>
      <c r="G264" s="34">
        <f t="shared" si="4"/>
        <v>0</v>
      </c>
      <c r="H264" s="32"/>
      <c r="I264" s="32"/>
      <c r="J264" s="32"/>
    </row>
    <row r="265" spans="1:10" ht="19.5" customHeight="1" x14ac:dyDescent="0.3">
      <c r="A265" s="38" t="s">
        <v>991</v>
      </c>
      <c r="B265" s="36"/>
      <c r="C265" s="36"/>
      <c r="D265" s="36"/>
      <c r="E265" s="36"/>
      <c r="F265" s="36"/>
      <c r="G265" s="34">
        <f t="shared" si="4"/>
        <v>0</v>
      </c>
      <c r="H265" s="36"/>
      <c r="I265" s="36"/>
      <c r="J265" s="36"/>
    </row>
    <row r="266" spans="1:10" ht="19.5" customHeight="1" x14ac:dyDescent="0.3">
      <c r="A266" s="38" t="s">
        <v>992</v>
      </c>
      <c r="B266" s="32"/>
      <c r="C266" s="32"/>
      <c r="D266" s="32"/>
      <c r="E266" s="32"/>
      <c r="F266" s="32"/>
      <c r="G266" s="34">
        <f t="shared" si="4"/>
        <v>0</v>
      </c>
      <c r="H266" s="32"/>
      <c r="I266" s="32"/>
      <c r="J266" s="32"/>
    </row>
    <row r="267" spans="1:10" ht="19.5" customHeight="1" x14ac:dyDescent="0.3">
      <c r="A267" s="38" t="s">
        <v>993</v>
      </c>
      <c r="B267" s="36"/>
      <c r="C267" s="36"/>
      <c r="D267" s="36"/>
      <c r="E267" s="36"/>
      <c r="F267" s="36"/>
      <c r="G267" s="34">
        <f t="shared" si="4"/>
        <v>0</v>
      </c>
      <c r="H267" s="36"/>
      <c r="I267" s="36"/>
      <c r="J267" s="36"/>
    </row>
    <row r="268" spans="1:10" ht="19.5" customHeight="1" x14ac:dyDescent="0.3">
      <c r="A268" s="38" t="s">
        <v>994</v>
      </c>
      <c r="B268" s="32"/>
      <c r="C268" s="32"/>
      <c r="D268" s="32"/>
      <c r="E268" s="32"/>
      <c r="F268" s="32"/>
      <c r="G268" s="34">
        <f t="shared" si="4"/>
        <v>0</v>
      </c>
      <c r="H268" s="32"/>
      <c r="I268" s="32"/>
      <c r="J268" s="32"/>
    </row>
    <row r="269" spans="1:10" ht="19.5" customHeight="1" x14ac:dyDescent="0.3">
      <c r="A269" s="38" t="s">
        <v>995</v>
      </c>
      <c r="B269" s="36"/>
      <c r="C269" s="36"/>
      <c r="D269" s="36"/>
      <c r="E269" s="36"/>
      <c r="F269" s="36"/>
      <c r="G269" s="34">
        <f t="shared" si="4"/>
        <v>0</v>
      </c>
      <c r="H269" s="36"/>
      <c r="I269" s="36"/>
      <c r="J269" s="36"/>
    </row>
    <row r="270" spans="1:10" ht="19.5" customHeight="1" x14ac:dyDescent="0.3">
      <c r="A270" s="38" t="s">
        <v>996</v>
      </c>
      <c r="B270" s="32"/>
      <c r="C270" s="32"/>
      <c r="D270" s="32"/>
      <c r="E270" s="32"/>
      <c r="F270" s="32"/>
      <c r="G270" s="34">
        <f t="shared" si="4"/>
        <v>0</v>
      </c>
      <c r="H270" s="32"/>
      <c r="I270" s="32"/>
      <c r="J270" s="32"/>
    </row>
    <row r="271" spans="1:10" ht="19.5" customHeight="1" x14ac:dyDescent="0.3">
      <c r="A271" s="38" t="s">
        <v>997</v>
      </c>
      <c r="B271" s="36"/>
      <c r="C271" s="36"/>
      <c r="D271" s="36"/>
      <c r="E271" s="36"/>
      <c r="F271" s="36"/>
      <c r="G271" s="34">
        <f t="shared" si="4"/>
        <v>0</v>
      </c>
      <c r="H271" s="36"/>
      <c r="I271" s="36"/>
      <c r="J271" s="36"/>
    </row>
    <row r="272" spans="1:10" ht="19.5" customHeight="1" x14ac:dyDescent="0.3">
      <c r="A272" s="38" t="s">
        <v>998</v>
      </c>
      <c r="B272" s="32"/>
      <c r="C272" s="32"/>
      <c r="D272" s="32"/>
      <c r="E272" s="32"/>
      <c r="F272" s="32"/>
      <c r="G272" s="34">
        <f t="shared" si="4"/>
        <v>0</v>
      </c>
      <c r="H272" s="32"/>
      <c r="I272" s="32"/>
      <c r="J272" s="32"/>
    </row>
    <row r="273" spans="1:10" ht="19.5" customHeight="1" x14ac:dyDescent="0.3">
      <c r="A273" s="38" t="s">
        <v>999</v>
      </c>
      <c r="B273" s="36"/>
      <c r="C273" s="36"/>
      <c r="D273" s="36"/>
      <c r="E273" s="36"/>
      <c r="F273" s="36"/>
      <c r="G273" s="34">
        <f t="shared" si="4"/>
        <v>0</v>
      </c>
      <c r="H273" s="36"/>
      <c r="I273" s="36"/>
      <c r="J273" s="36"/>
    </row>
    <row r="274" spans="1:10" ht="19.5" customHeight="1" x14ac:dyDescent="0.3">
      <c r="A274" s="38" t="s">
        <v>1000</v>
      </c>
      <c r="B274" s="32"/>
      <c r="C274" s="32"/>
      <c r="D274" s="32"/>
      <c r="E274" s="32"/>
      <c r="F274" s="32"/>
      <c r="G274" s="34">
        <f t="shared" si="4"/>
        <v>0</v>
      </c>
      <c r="H274" s="32"/>
      <c r="I274" s="32"/>
      <c r="J274" s="32"/>
    </row>
    <row r="275" spans="1:10" ht="19.5" customHeight="1" x14ac:dyDescent="0.3">
      <c r="A275" s="38" t="s">
        <v>1001</v>
      </c>
      <c r="B275" s="36"/>
      <c r="C275" s="36"/>
      <c r="D275" s="36"/>
      <c r="E275" s="36"/>
      <c r="F275" s="36"/>
      <c r="G275" s="34">
        <f t="shared" si="4"/>
        <v>0</v>
      </c>
      <c r="H275" s="36"/>
      <c r="I275" s="36"/>
      <c r="J275" s="36"/>
    </row>
    <row r="276" spans="1:10" ht="19.5" customHeight="1" x14ac:dyDescent="0.3">
      <c r="A276" s="38" t="s">
        <v>1002</v>
      </c>
      <c r="B276" s="32"/>
      <c r="C276" s="32"/>
      <c r="D276" s="32"/>
      <c r="E276" s="32"/>
      <c r="F276" s="32"/>
      <c r="G276" s="34">
        <f t="shared" si="4"/>
        <v>0</v>
      </c>
      <c r="H276" s="32"/>
      <c r="I276" s="32"/>
      <c r="J276" s="32"/>
    </row>
    <row r="277" spans="1:10" ht="19.5" customHeight="1" x14ac:dyDescent="0.3">
      <c r="A277" s="38" t="s">
        <v>1003</v>
      </c>
      <c r="B277" s="36"/>
      <c r="C277" s="36"/>
      <c r="D277" s="36"/>
      <c r="E277" s="36"/>
      <c r="F277" s="36"/>
      <c r="G277" s="34">
        <f t="shared" si="4"/>
        <v>0</v>
      </c>
      <c r="H277" s="36"/>
      <c r="I277" s="36"/>
      <c r="J277" s="36"/>
    </row>
    <row r="278" spans="1:10" ht="19.5" customHeight="1" x14ac:dyDescent="0.3">
      <c r="A278" s="38" t="s">
        <v>1004</v>
      </c>
      <c r="B278" s="32"/>
      <c r="C278" s="32"/>
      <c r="D278" s="32"/>
      <c r="E278" s="32"/>
      <c r="F278" s="32"/>
      <c r="G278" s="34">
        <f t="shared" si="4"/>
        <v>0</v>
      </c>
      <c r="H278" s="32"/>
      <c r="I278" s="32"/>
      <c r="J278" s="32"/>
    </row>
    <row r="279" spans="1:10" ht="19.5" customHeight="1" x14ac:dyDescent="0.3">
      <c r="A279" s="38" t="s">
        <v>1005</v>
      </c>
      <c r="B279" s="36"/>
      <c r="C279" s="36"/>
      <c r="D279" s="36"/>
      <c r="E279" s="36"/>
      <c r="F279" s="36"/>
      <c r="G279" s="34">
        <f t="shared" si="4"/>
        <v>0</v>
      </c>
      <c r="H279" s="36"/>
      <c r="I279" s="36"/>
      <c r="J279" s="36"/>
    </row>
    <row r="280" spans="1:10" ht="19.5" customHeight="1" x14ac:dyDescent="0.3">
      <c r="A280" s="38" t="s">
        <v>1006</v>
      </c>
      <c r="B280" s="32"/>
      <c r="C280" s="32"/>
      <c r="D280" s="32"/>
      <c r="E280" s="32"/>
      <c r="F280" s="32"/>
      <c r="G280" s="34">
        <f t="shared" si="4"/>
        <v>0</v>
      </c>
      <c r="H280" s="32"/>
      <c r="I280" s="32"/>
      <c r="J280" s="32"/>
    </row>
    <row r="281" spans="1:10" ht="19.5" customHeight="1" x14ac:dyDescent="0.3">
      <c r="A281" s="38" t="s">
        <v>1007</v>
      </c>
      <c r="B281" s="36"/>
      <c r="C281" s="36"/>
      <c r="D281" s="36"/>
      <c r="E281" s="36"/>
      <c r="F281" s="36"/>
      <c r="G281" s="34">
        <f t="shared" si="4"/>
        <v>0</v>
      </c>
      <c r="H281" s="36"/>
      <c r="I281" s="36"/>
      <c r="J281" s="36"/>
    </row>
    <row r="282" spans="1:10" ht="19.5" customHeight="1" x14ac:dyDescent="0.3">
      <c r="A282" s="38" t="s">
        <v>1008</v>
      </c>
      <c r="B282" s="32"/>
      <c r="C282" s="32"/>
      <c r="D282" s="32"/>
      <c r="E282" s="32"/>
      <c r="F282" s="32"/>
      <c r="G282" s="34">
        <f t="shared" si="4"/>
        <v>0</v>
      </c>
      <c r="H282" s="32"/>
      <c r="I282" s="32"/>
      <c r="J282" s="32"/>
    </row>
    <row r="283" spans="1:10" ht="19.5" customHeight="1" x14ac:dyDescent="0.3">
      <c r="A283" s="38" t="s">
        <v>1009</v>
      </c>
      <c r="B283" s="36"/>
      <c r="C283" s="36"/>
      <c r="D283" s="36"/>
      <c r="E283" s="36"/>
      <c r="F283" s="36"/>
      <c r="G283" s="34">
        <f t="shared" si="4"/>
        <v>0</v>
      </c>
      <c r="H283" s="36"/>
      <c r="I283" s="36"/>
      <c r="J283" s="36"/>
    </row>
    <row r="284" spans="1:10" ht="19.5" customHeight="1" x14ac:dyDescent="0.3">
      <c r="A284" s="38" t="s">
        <v>1010</v>
      </c>
      <c r="B284" s="32"/>
      <c r="C284" s="32"/>
      <c r="D284" s="32"/>
      <c r="E284" s="32"/>
      <c r="F284" s="32"/>
      <c r="G284" s="34">
        <f t="shared" si="4"/>
        <v>0</v>
      </c>
      <c r="H284" s="32"/>
      <c r="I284" s="32"/>
      <c r="J284" s="32"/>
    </row>
    <row r="285" spans="1:10" ht="19.5" customHeight="1" x14ac:dyDescent="0.3">
      <c r="A285" s="38" t="s">
        <v>1011</v>
      </c>
      <c r="B285" s="36"/>
      <c r="C285" s="36"/>
      <c r="D285" s="36"/>
      <c r="E285" s="36"/>
      <c r="F285" s="36"/>
      <c r="G285" s="34">
        <f t="shared" si="4"/>
        <v>0</v>
      </c>
      <c r="H285" s="36"/>
      <c r="I285" s="36"/>
      <c r="J285" s="36"/>
    </row>
    <row r="286" spans="1:10" ht="19.5" customHeight="1" x14ac:dyDescent="0.3">
      <c r="A286" s="38" t="s">
        <v>1012</v>
      </c>
      <c r="B286" s="32"/>
      <c r="C286" s="32"/>
      <c r="D286" s="32"/>
      <c r="E286" s="32"/>
      <c r="F286" s="32"/>
      <c r="G286" s="34">
        <f t="shared" si="4"/>
        <v>0</v>
      </c>
      <c r="H286" s="32"/>
      <c r="I286" s="32"/>
      <c r="J286" s="32"/>
    </row>
    <row r="287" spans="1:10" ht="19.5" customHeight="1" x14ac:dyDescent="0.3">
      <c r="A287" s="38" t="s">
        <v>1013</v>
      </c>
      <c r="B287" s="36"/>
      <c r="C287" s="36"/>
      <c r="D287" s="36"/>
      <c r="E287" s="36"/>
      <c r="F287" s="36"/>
      <c r="G287" s="34">
        <f t="shared" si="4"/>
        <v>0</v>
      </c>
      <c r="H287" s="36"/>
      <c r="I287" s="36"/>
      <c r="J287" s="36"/>
    </row>
    <row r="288" spans="1:10" ht="19.5" customHeight="1" x14ac:dyDescent="0.3">
      <c r="A288" s="38" t="s">
        <v>1014</v>
      </c>
      <c r="B288" s="32"/>
      <c r="C288" s="32"/>
      <c r="D288" s="32"/>
      <c r="E288" s="32"/>
      <c r="F288" s="32"/>
      <c r="G288" s="34">
        <f t="shared" si="4"/>
        <v>0</v>
      </c>
      <c r="H288" s="32"/>
      <c r="I288" s="32"/>
      <c r="J288" s="32"/>
    </row>
    <row r="289" spans="1:10" ht="19.5" customHeight="1" x14ac:dyDescent="0.3">
      <c r="A289" s="38" t="s">
        <v>1015</v>
      </c>
      <c r="B289" s="36"/>
      <c r="C289" s="36"/>
      <c r="D289" s="36"/>
      <c r="E289" s="36"/>
      <c r="F289" s="36"/>
      <c r="G289" s="34">
        <f t="shared" si="4"/>
        <v>0</v>
      </c>
      <c r="H289" s="36"/>
      <c r="I289" s="36"/>
      <c r="J289" s="36"/>
    </row>
    <row r="290" spans="1:10" ht="19.5" customHeight="1" x14ac:dyDescent="0.3">
      <c r="A290" s="38" t="s">
        <v>1016</v>
      </c>
      <c r="B290" s="32"/>
      <c r="C290" s="32"/>
      <c r="D290" s="32"/>
      <c r="E290" s="32"/>
      <c r="F290" s="32"/>
      <c r="G290" s="34">
        <f t="shared" si="4"/>
        <v>0</v>
      </c>
      <c r="H290" s="32"/>
      <c r="I290" s="32"/>
      <c r="J290" s="32"/>
    </row>
    <row r="291" spans="1:10" ht="19.5" customHeight="1" x14ac:dyDescent="0.3">
      <c r="A291" s="38" t="s">
        <v>1017</v>
      </c>
      <c r="B291" s="36"/>
      <c r="C291" s="36"/>
      <c r="D291" s="36"/>
      <c r="E291" s="36"/>
      <c r="F291" s="36"/>
      <c r="G291" s="34">
        <f t="shared" si="4"/>
        <v>0</v>
      </c>
      <c r="H291" s="36"/>
      <c r="I291" s="36"/>
      <c r="J291" s="36"/>
    </row>
    <row r="292" spans="1:10" ht="19.5" customHeight="1" x14ac:dyDescent="0.3">
      <c r="A292" s="38" t="s">
        <v>1018</v>
      </c>
      <c r="B292" s="32"/>
      <c r="C292" s="32"/>
      <c r="D292" s="32"/>
      <c r="E292" s="32"/>
      <c r="F292" s="32"/>
      <c r="G292" s="34">
        <f t="shared" si="4"/>
        <v>0</v>
      </c>
      <c r="H292" s="32"/>
      <c r="I292" s="32"/>
      <c r="J292" s="32"/>
    </row>
    <row r="293" spans="1:10" ht="19.5" customHeight="1" x14ac:dyDescent="0.3">
      <c r="A293" s="38" t="s">
        <v>1019</v>
      </c>
      <c r="B293" s="36"/>
      <c r="C293" s="36"/>
      <c r="D293" s="36"/>
      <c r="E293" s="36"/>
      <c r="F293" s="36"/>
      <c r="G293" s="34">
        <f t="shared" si="4"/>
        <v>0</v>
      </c>
      <c r="H293" s="36"/>
      <c r="I293" s="36"/>
      <c r="J293" s="36"/>
    </row>
    <row r="294" spans="1:10" ht="19.5" customHeight="1" x14ac:dyDescent="0.3">
      <c r="A294" s="38" t="s">
        <v>1020</v>
      </c>
      <c r="B294" s="32"/>
      <c r="C294" s="32"/>
      <c r="D294" s="32"/>
      <c r="E294" s="32"/>
      <c r="F294" s="32"/>
      <c r="G294" s="34">
        <f t="shared" si="4"/>
        <v>0</v>
      </c>
      <c r="H294" s="32"/>
      <c r="I294" s="32"/>
      <c r="J294" s="32"/>
    </row>
    <row r="295" spans="1:10" ht="19.5" customHeight="1" x14ac:dyDescent="0.3">
      <c r="A295" s="38" t="s">
        <v>1021</v>
      </c>
      <c r="B295" s="36"/>
      <c r="C295" s="36"/>
      <c r="D295" s="36"/>
      <c r="E295" s="36"/>
      <c r="F295" s="36"/>
      <c r="G295" s="34">
        <f t="shared" si="4"/>
        <v>0</v>
      </c>
      <c r="H295" s="36"/>
      <c r="I295" s="36"/>
      <c r="J295" s="36"/>
    </row>
    <row r="296" spans="1:10" ht="19.5" customHeight="1" x14ac:dyDescent="0.3">
      <c r="A296" s="38" t="s">
        <v>1022</v>
      </c>
      <c r="B296" s="32"/>
      <c r="C296" s="32"/>
      <c r="D296" s="32"/>
      <c r="E296" s="32"/>
      <c r="F296" s="32"/>
      <c r="G296" s="34">
        <f t="shared" si="4"/>
        <v>0</v>
      </c>
      <c r="H296" s="32"/>
      <c r="I296" s="32"/>
      <c r="J296" s="32"/>
    </row>
    <row r="297" spans="1:10" ht="19.5" customHeight="1" x14ac:dyDescent="0.3">
      <c r="A297" s="38" t="s">
        <v>1023</v>
      </c>
      <c r="B297" s="36"/>
      <c r="C297" s="36"/>
      <c r="D297" s="36"/>
      <c r="E297" s="36"/>
      <c r="F297" s="36"/>
      <c r="G297" s="34">
        <f t="shared" si="4"/>
        <v>0</v>
      </c>
      <c r="H297" s="36"/>
      <c r="I297" s="36"/>
      <c r="J297" s="36"/>
    </row>
    <row r="298" spans="1:10" ht="19.5" customHeight="1" x14ac:dyDescent="0.3">
      <c r="A298" s="38" t="s">
        <v>1024</v>
      </c>
      <c r="B298" s="32"/>
      <c r="C298" s="32"/>
      <c r="D298" s="32"/>
      <c r="E298" s="32"/>
      <c r="F298" s="32"/>
      <c r="G298" s="34">
        <f t="shared" si="4"/>
        <v>0</v>
      </c>
      <c r="H298" s="32"/>
      <c r="I298" s="32"/>
      <c r="J298" s="32"/>
    </row>
    <row r="299" spans="1:10" ht="19.5" customHeight="1" x14ac:dyDescent="0.3">
      <c r="A299" s="38" t="s">
        <v>1025</v>
      </c>
      <c r="B299" s="36"/>
      <c r="C299" s="36"/>
      <c r="D299" s="36"/>
      <c r="E299" s="36"/>
      <c r="F299" s="36"/>
      <c r="G299" s="34">
        <f t="shared" si="4"/>
        <v>0</v>
      </c>
      <c r="H299" s="36"/>
      <c r="I299" s="36"/>
      <c r="J299" s="36"/>
    </row>
    <row r="300" spans="1:10" ht="19.5" customHeight="1" x14ac:dyDescent="0.3">
      <c r="A300" s="38" t="s">
        <v>1026</v>
      </c>
      <c r="B300" s="32"/>
      <c r="C300" s="32"/>
      <c r="D300" s="32"/>
      <c r="E300" s="32"/>
      <c r="F300" s="32"/>
      <c r="G300" s="34">
        <f t="shared" si="4"/>
        <v>0</v>
      </c>
      <c r="H300" s="32"/>
      <c r="I300" s="32"/>
      <c r="J300" s="32"/>
    </row>
    <row r="301" spans="1:10" ht="19.5" customHeight="1" x14ac:dyDescent="0.3">
      <c r="A301" s="38" t="s">
        <v>1027</v>
      </c>
      <c r="B301" s="36"/>
      <c r="C301" s="36"/>
      <c r="D301" s="36"/>
      <c r="E301" s="36"/>
      <c r="F301" s="36"/>
      <c r="G301" s="34">
        <f t="shared" si="4"/>
        <v>0</v>
      </c>
      <c r="H301" s="36"/>
      <c r="I301" s="36"/>
      <c r="J301" s="36"/>
    </row>
    <row r="302" spans="1:10" ht="19.5" customHeight="1" x14ac:dyDescent="0.3">
      <c r="A302" s="38" t="s">
        <v>1028</v>
      </c>
      <c r="B302" s="32"/>
      <c r="C302" s="32"/>
      <c r="D302" s="32"/>
      <c r="E302" s="32"/>
      <c r="F302" s="32"/>
      <c r="G302" s="34">
        <f t="shared" si="4"/>
        <v>0</v>
      </c>
      <c r="H302" s="32"/>
      <c r="I302" s="32"/>
      <c r="J302" s="32"/>
    </row>
    <row r="303" spans="1:10" ht="19.5" customHeight="1" x14ac:dyDescent="0.3">
      <c r="A303" s="38" t="s">
        <v>1029</v>
      </c>
      <c r="B303" s="36"/>
      <c r="C303" s="36"/>
      <c r="D303" s="36"/>
      <c r="E303" s="36"/>
      <c r="F303" s="36"/>
      <c r="G303" s="34">
        <f t="shared" si="4"/>
        <v>0</v>
      </c>
      <c r="H303" s="36"/>
      <c r="I303" s="36"/>
      <c r="J303" s="36"/>
    </row>
    <row r="304" spans="1:10" ht="19.5" customHeight="1" x14ac:dyDescent="0.3">
      <c r="A304" s="38" t="s">
        <v>1030</v>
      </c>
      <c r="B304" s="32"/>
      <c r="C304" s="32"/>
      <c r="D304" s="32"/>
      <c r="E304" s="32"/>
      <c r="F304" s="32"/>
      <c r="G304" s="34">
        <f t="shared" si="4"/>
        <v>0</v>
      </c>
      <c r="H304" s="32"/>
      <c r="I304" s="32"/>
      <c r="J304" s="32"/>
    </row>
    <row r="305" spans="1:10" ht="19.5" customHeight="1" x14ac:dyDescent="0.3">
      <c r="A305" s="38" t="s">
        <v>1031</v>
      </c>
      <c r="B305" s="36"/>
      <c r="C305" s="36"/>
      <c r="D305" s="36"/>
      <c r="E305" s="36"/>
      <c r="F305" s="36"/>
      <c r="G305" s="34">
        <f t="shared" si="4"/>
        <v>0</v>
      </c>
      <c r="H305" s="36"/>
      <c r="I305" s="36"/>
      <c r="J305" s="36"/>
    </row>
    <row r="306" spans="1:10" ht="19.5" customHeight="1" x14ac:dyDescent="0.3">
      <c r="A306" s="38" t="s">
        <v>1032</v>
      </c>
      <c r="B306" s="32"/>
      <c r="C306" s="32"/>
      <c r="D306" s="32"/>
      <c r="E306" s="32"/>
      <c r="F306" s="32"/>
      <c r="G306" s="34">
        <f t="shared" si="4"/>
        <v>0</v>
      </c>
      <c r="H306" s="32"/>
      <c r="I306" s="32"/>
      <c r="J306" s="32"/>
    </row>
    <row r="307" spans="1:10" ht="19.5" customHeight="1" x14ac:dyDescent="0.3">
      <c r="A307" s="38" t="s">
        <v>1033</v>
      </c>
      <c r="B307" s="36"/>
      <c r="C307" s="36"/>
      <c r="D307" s="36"/>
      <c r="E307" s="36"/>
      <c r="F307" s="36"/>
      <c r="G307" s="34">
        <f t="shared" si="4"/>
        <v>0</v>
      </c>
      <c r="H307" s="36"/>
      <c r="I307" s="36"/>
      <c r="J307" s="36"/>
    </row>
    <row r="308" spans="1:10" ht="19.5" customHeight="1" x14ac:dyDescent="0.3">
      <c r="A308" s="38" t="s">
        <v>1034</v>
      </c>
      <c r="B308" s="32"/>
      <c r="C308" s="32"/>
      <c r="D308" s="32"/>
      <c r="E308" s="32"/>
      <c r="F308" s="32"/>
      <c r="G308" s="34">
        <f t="shared" si="4"/>
        <v>0</v>
      </c>
      <c r="H308" s="32"/>
      <c r="I308" s="32"/>
      <c r="J308" s="32"/>
    </row>
    <row r="309" spans="1:10" ht="19.5" customHeight="1" x14ac:dyDescent="0.3">
      <c r="A309" s="38" t="s">
        <v>1035</v>
      </c>
      <c r="B309" s="36"/>
      <c r="C309" s="36"/>
      <c r="D309" s="36"/>
      <c r="E309" s="36"/>
      <c r="F309" s="36"/>
      <c r="G309" s="34">
        <f t="shared" si="4"/>
        <v>0</v>
      </c>
      <c r="H309" s="36"/>
      <c r="I309" s="36"/>
      <c r="J309" s="36"/>
    </row>
    <row r="310" spans="1:10" ht="19.5" customHeight="1" x14ac:dyDescent="0.3">
      <c r="A310" s="38" t="s">
        <v>1036</v>
      </c>
      <c r="B310" s="32"/>
      <c r="C310" s="32"/>
      <c r="D310" s="32"/>
      <c r="E310" s="32"/>
      <c r="F310" s="32"/>
      <c r="G310" s="34">
        <f t="shared" si="4"/>
        <v>0</v>
      </c>
      <c r="H310" s="32"/>
      <c r="I310" s="32"/>
      <c r="J310" s="32"/>
    </row>
    <row r="311" spans="1:10" ht="19.5" customHeight="1" x14ac:dyDescent="0.3">
      <c r="A311" s="38" t="s">
        <v>1037</v>
      </c>
      <c r="B311" s="36"/>
      <c r="C311" s="36"/>
      <c r="D311" s="36"/>
      <c r="E311" s="36"/>
      <c r="F311" s="36"/>
      <c r="G311" s="34">
        <f t="shared" si="4"/>
        <v>0</v>
      </c>
      <c r="H311" s="36"/>
      <c r="I311" s="36"/>
      <c r="J311" s="36"/>
    </row>
    <row r="312" spans="1:10" ht="19.5" customHeight="1" x14ac:dyDescent="0.3">
      <c r="A312" s="38" t="s">
        <v>1038</v>
      </c>
      <c r="B312" s="32"/>
      <c r="C312" s="32"/>
      <c r="D312" s="32"/>
      <c r="E312" s="32"/>
      <c r="F312" s="32"/>
      <c r="G312" s="34">
        <f t="shared" si="4"/>
        <v>0</v>
      </c>
      <c r="H312" s="32"/>
      <c r="I312" s="32"/>
      <c r="J312" s="32"/>
    </row>
    <row r="313" spans="1:10" ht="19.5" customHeight="1" x14ac:dyDescent="0.3">
      <c r="A313" s="38" t="s">
        <v>1039</v>
      </c>
      <c r="B313" s="36"/>
      <c r="C313" s="36"/>
      <c r="D313" s="36"/>
      <c r="E313" s="36"/>
      <c r="F313" s="36"/>
      <c r="G313" s="34">
        <f t="shared" si="4"/>
        <v>0</v>
      </c>
      <c r="H313" s="36"/>
      <c r="I313" s="36"/>
      <c r="J313" s="36"/>
    </row>
    <row r="314" spans="1:10" ht="19.5" customHeight="1" x14ac:dyDescent="0.3">
      <c r="A314" s="38" t="s">
        <v>1040</v>
      </c>
      <c r="B314" s="32"/>
      <c r="C314" s="32"/>
      <c r="D314" s="32"/>
      <c r="E314" s="32"/>
      <c r="F314" s="32"/>
      <c r="G314" s="34">
        <f t="shared" si="4"/>
        <v>0</v>
      </c>
      <c r="H314" s="32"/>
      <c r="I314" s="32"/>
      <c r="J314" s="32"/>
    </row>
    <row r="315" spans="1:10" ht="19.5" customHeight="1" x14ac:dyDescent="0.3">
      <c r="A315" s="38" t="s">
        <v>1041</v>
      </c>
      <c r="B315" s="36"/>
      <c r="C315" s="36"/>
      <c r="D315" s="36"/>
      <c r="E315" s="36"/>
      <c r="F315" s="36"/>
      <c r="G315" s="34">
        <f t="shared" si="4"/>
        <v>0</v>
      </c>
      <c r="H315" s="36"/>
      <c r="I315" s="36"/>
      <c r="J315" s="36"/>
    </row>
    <row r="316" spans="1:10" ht="19.5" customHeight="1" x14ac:dyDescent="0.3">
      <c r="A316" s="38" t="s">
        <v>1042</v>
      </c>
      <c r="B316" s="32"/>
      <c r="C316" s="32"/>
      <c r="D316" s="32"/>
      <c r="E316" s="32"/>
      <c r="F316" s="32"/>
      <c r="G316" s="34">
        <f t="shared" si="4"/>
        <v>0</v>
      </c>
      <c r="H316" s="32"/>
      <c r="I316" s="32"/>
      <c r="J316" s="32"/>
    </row>
    <row r="317" spans="1:10" ht="19.5" customHeight="1" x14ac:dyDescent="0.3">
      <c r="A317" s="38" t="s">
        <v>1043</v>
      </c>
      <c r="B317" s="36"/>
      <c r="C317" s="36"/>
      <c r="D317" s="36"/>
      <c r="E317" s="36"/>
      <c r="F317" s="36"/>
      <c r="G317" s="34">
        <f t="shared" si="4"/>
        <v>0</v>
      </c>
      <c r="H317" s="36"/>
      <c r="I317" s="36"/>
      <c r="J317" s="36"/>
    </row>
    <row r="318" spans="1:10" ht="19.5" customHeight="1" x14ac:dyDescent="0.3">
      <c r="A318" s="38" t="s">
        <v>1044</v>
      </c>
      <c r="B318" s="32"/>
      <c r="C318" s="32"/>
      <c r="D318" s="32"/>
      <c r="E318" s="32"/>
      <c r="F318" s="32"/>
      <c r="G318" s="34">
        <f t="shared" si="4"/>
        <v>0</v>
      </c>
      <c r="H318" s="32"/>
      <c r="I318" s="32"/>
      <c r="J318" s="32"/>
    </row>
    <row r="319" spans="1:10" ht="19.5" customHeight="1" x14ac:dyDescent="0.3">
      <c r="A319" s="38" t="s">
        <v>1045</v>
      </c>
      <c r="B319" s="36"/>
      <c r="C319" s="36"/>
      <c r="D319" s="36"/>
      <c r="E319" s="36"/>
      <c r="F319" s="36"/>
      <c r="G319" s="34">
        <f t="shared" si="4"/>
        <v>0</v>
      </c>
      <c r="H319" s="36"/>
      <c r="I319" s="36"/>
      <c r="J319" s="36"/>
    </row>
    <row r="320" spans="1:10" ht="19.5" customHeight="1" x14ac:dyDescent="0.3">
      <c r="A320" s="38" t="s">
        <v>1046</v>
      </c>
      <c r="B320" s="32"/>
      <c r="C320" s="32"/>
      <c r="D320" s="32"/>
      <c r="E320" s="32"/>
      <c r="F320" s="32"/>
      <c r="G320" s="34">
        <f t="shared" si="4"/>
        <v>0</v>
      </c>
      <c r="H320" s="32"/>
      <c r="I320" s="32"/>
      <c r="J320" s="32"/>
    </row>
    <row r="321" spans="1:10" ht="19.5" customHeight="1" x14ac:dyDescent="0.3">
      <c r="A321" s="38" t="s">
        <v>1047</v>
      </c>
      <c r="B321" s="36"/>
      <c r="C321" s="36"/>
      <c r="D321" s="36"/>
      <c r="E321" s="36"/>
      <c r="F321" s="36"/>
      <c r="G321" s="34">
        <f t="shared" si="4"/>
        <v>0</v>
      </c>
      <c r="H321" s="36"/>
      <c r="I321" s="36"/>
      <c r="J321" s="36"/>
    </row>
    <row r="322" spans="1:10" ht="19.5" customHeight="1" x14ac:dyDescent="0.3">
      <c r="A322" s="38" t="s">
        <v>1048</v>
      </c>
      <c r="B322" s="32"/>
      <c r="C322" s="32"/>
      <c r="D322" s="32"/>
      <c r="E322" s="32"/>
      <c r="F322" s="32"/>
      <c r="G322" s="34">
        <f t="shared" si="4"/>
        <v>0</v>
      </c>
      <c r="H322" s="32"/>
      <c r="I322" s="32"/>
      <c r="J322" s="32"/>
    </row>
    <row r="323" spans="1:10" ht="19.5" customHeight="1" x14ac:dyDescent="0.3">
      <c r="A323" s="38" t="s">
        <v>1049</v>
      </c>
      <c r="B323" s="36"/>
      <c r="C323" s="36"/>
      <c r="D323" s="36"/>
      <c r="E323" s="36"/>
      <c r="F323" s="36"/>
      <c r="G323" s="34">
        <f t="shared" si="4"/>
        <v>0</v>
      </c>
      <c r="H323" s="36"/>
      <c r="I323" s="36"/>
      <c r="J323" s="36"/>
    </row>
    <row r="324" spans="1:10" ht="19.5" customHeight="1" x14ac:dyDescent="0.3">
      <c r="A324" s="38" t="s">
        <v>1050</v>
      </c>
      <c r="B324" s="32"/>
      <c r="C324" s="32"/>
      <c r="D324" s="32"/>
      <c r="E324" s="32"/>
      <c r="F324" s="32"/>
      <c r="G324" s="34">
        <f t="shared" si="4"/>
        <v>0</v>
      </c>
      <c r="H324" s="32"/>
      <c r="I324" s="32"/>
      <c r="J324" s="32"/>
    </row>
    <row r="325" spans="1:10" ht="19.5" customHeight="1" x14ac:dyDescent="0.3">
      <c r="A325" s="38" t="s">
        <v>1051</v>
      </c>
      <c r="B325" s="36"/>
      <c r="C325" s="36"/>
      <c r="D325" s="36"/>
      <c r="E325" s="36"/>
      <c r="F325" s="36"/>
      <c r="G325" s="34">
        <f t="shared" ref="G325:G388" si="5">G324+E325-F325</f>
        <v>0</v>
      </c>
      <c r="H325" s="36"/>
      <c r="I325" s="36"/>
      <c r="J325" s="36"/>
    </row>
    <row r="326" spans="1:10" ht="19.5" customHeight="1" x14ac:dyDescent="0.3">
      <c r="A326" s="38" t="s">
        <v>1052</v>
      </c>
      <c r="B326" s="32"/>
      <c r="C326" s="32"/>
      <c r="D326" s="32"/>
      <c r="E326" s="32"/>
      <c r="F326" s="32"/>
      <c r="G326" s="34">
        <f t="shared" si="5"/>
        <v>0</v>
      </c>
      <c r="H326" s="32"/>
      <c r="I326" s="32"/>
      <c r="J326" s="32"/>
    </row>
    <row r="327" spans="1:10" ht="19.5" customHeight="1" x14ac:dyDescent="0.3">
      <c r="A327" s="38" t="s">
        <v>1053</v>
      </c>
      <c r="B327" s="36"/>
      <c r="C327" s="36"/>
      <c r="D327" s="36"/>
      <c r="E327" s="36"/>
      <c r="F327" s="36"/>
      <c r="G327" s="34">
        <f t="shared" si="5"/>
        <v>0</v>
      </c>
      <c r="H327" s="36"/>
      <c r="I327" s="36"/>
      <c r="J327" s="36"/>
    </row>
    <row r="328" spans="1:10" ht="19.5" customHeight="1" x14ac:dyDescent="0.3">
      <c r="A328" s="38" t="s">
        <v>1054</v>
      </c>
      <c r="B328" s="32"/>
      <c r="C328" s="32"/>
      <c r="D328" s="32"/>
      <c r="E328" s="32"/>
      <c r="F328" s="32"/>
      <c r="G328" s="34">
        <f t="shared" si="5"/>
        <v>0</v>
      </c>
      <c r="H328" s="32"/>
      <c r="I328" s="32"/>
      <c r="J328" s="32"/>
    </row>
    <row r="329" spans="1:10" ht="19.5" customHeight="1" x14ac:dyDescent="0.3">
      <c r="A329" s="38" t="s">
        <v>1055</v>
      </c>
      <c r="B329" s="36"/>
      <c r="C329" s="36"/>
      <c r="D329" s="36"/>
      <c r="E329" s="36"/>
      <c r="F329" s="36"/>
      <c r="G329" s="34">
        <f t="shared" si="5"/>
        <v>0</v>
      </c>
      <c r="H329" s="36"/>
      <c r="I329" s="36"/>
      <c r="J329" s="36"/>
    </row>
    <row r="330" spans="1:10" ht="19.5" customHeight="1" x14ac:dyDescent="0.3">
      <c r="A330" s="38" t="s">
        <v>1056</v>
      </c>
      <c r="B330" s="32"/>
      <c r="C330" s="32"/>
      <c r="D330" s="32"/>
      <c r="E330" s="32"/>
      <c r="F330" s="32"/>
      <c r="G330" s="34">
        <f t="shared" si="5"/>
        <v>0</v>
      </c>
      <c r="H330" s="32"/>
      <c r="I330" s="32"/>
      <c r="J330" s="32"/>
    </row>
    <row r="331" spans="1:10" ht="19.5" customHeight="1" x14ac:dyDescent="0.3">
      <c r="A331" s="38" t="s">
        <v>1057</v>
      </c>
      <c r="B331" s="36"/>
      <c r="C331" s="36"/>
      <c r="D331" s="36"/>
      <c r="E331" s="36"/>
      <c r="F331" s="36"/>
      <c r="G331" s="34">
        <f t="shared" si="5"/>
        <v>0</v>
      </c>
      <c r="H331" s="36"/>
      <c r="I331" s="36"/>
      <c r="J331" s="36"/>
    </row>
    <row r="332" spans="1:10" ht="19.5" customHeight="1" x14ac:dyDescent="0.3">
      <c r="A332" s="38" t="s">
        <v>1058</v>
      </c>
      <c r="B332" s="32"/>
      <c r="C332" s="32"/>
      <c r="D332" s="32"/>
      <c r="E332" s="32"/>
      <c r="F332" s="32"/>
      <c r="G332" s="34">
        <f t="shared" si="5"/>
        <v>0</v>
      </c>
      <c r="H332" s="32"/>
      <c r="I332" s="32"/>
      <c r="J332" s="32"/>
    </row>
    <row r="333" spans="1:10" ht="19.5" customHeight="1" x14ac:dyDescent="0.3">
      <c r="A333" s="38" t="s">
        <v>1059</v>
      </c>
      <c r="B333" s="36"/>
      <c r="C333" s="36"/>
      <c r="D333" s="36"/>
      <c r="E333" s="36"/>
      <c r="F333" s="36"/>
      <c r="G333" s="34">
        <f t="shared" si="5"/>
        <v>0</v>
      </c>
      <c r="H333" s="36"/>
      <c r="I333" s="36"/>
      <c r="J333" s="36"/>
    </row>
    <row r="334" spans="1:10" ht="19.5" customHeight="1" x14ac:dyDescent="0.3">
      <c r="A334" s="38" t="s">
        <v>1060</v>
      </c>
      <c r="B334" s="32"/>
      <c r="C334" s="32"/>
      <c r="D334" s="32"/>
      <c r="E334" s="32"/>
      <c r="F334" s="32"/>
      <c r="G334" s="34">
        <f t="shared" si="5"/>
        <v>0</v>
      </c>
      <c r="H334" s="32"/>
      <c r="I334" s="32"/>
      <c r="J334" s="32"/>
    </row>
    <row r="335" spans="1:10" ht="19.5" customHeight="1" x14ac:dyDescent="0.3">
      <c r="A335" s="38" t="s">
        <v>1061</v>
      </c>
      <c r="B335" s="36"/>
      <c r="C335" s="36"/>
      <c r="D335" s="36"/>
      <c r="E335" s="36"/>
      <c r="F335" s="36"/>
      <c r="G335" s="34">
        <f t="shared" si="5"/>
        <v>0</v>
      </c>
      <c r="H335" s="36"/>
      <c r="I335" s="36"/>
      <c r="J335" s="36"/>
    </row>
    <row r="336" spans="1:10" ht="19.5" customHeight="1" x14ac:dyDescent="0.3">
      <c r="A336" s="38" t="s">
        <v>1062</v>
      </c>
      <c r="B336" s="32"/>
      <c r="C336" s="32"/>
      <c r="D336" s="32"/>
      <c r="E336" s="32"/>
      <c r="F336" s="32"/>
      <c r="G336" s="34">
        <f t="shared" si="5"/>
        <v>0</v>
      </c>
      <c r="H336" s="32"/>
      <c r="I336" s="32"/>
      <c r="J336" s="32"/>
    </row>
    <row r="337" spans="1:10" ht="19.5" customHeight="1" x14ac:dyDescent="0.3">
      <c r="A337" s="38" t="s">
        <v>1063</v>
      </c>
      <c r="B337" s="36"/>
      <c r="C337" s="36"/>
      <c r="D337" s="36"/>
      <c r="E337" s="36"/>
      <c r="F337" s="36"/>
      <c r="G337" s="34">
        <f t="shared" si="5"/>
        <v>0</v>
      </c>
      <c r="H337" s="36"/>
      <c r="I337" s="36"/>
      <c r="J337" s="36"/>
    </row>
    <row r="338" spans="1:10" ht="19.5" customHeight="1" x14ac:dyDescent="0.3">
      <c r="A338" s="38" t="s">
        <v>1064</v>
      </c>
      <c r="B338" s="32"/>
      <c r="C338" s="32"/>
      <c r="D338" s="32"/>
      <c r="E338" s="32"/>
      <c r="F338" s="32"/>
      <c r="G338" s="34">
        <f t="shared" si="5"/>
        <v>0</v>
      </c>
      <c r="H338" s="32"/>
      <c r="I338" s="32"/>
      <c r="J338" s="32"/>
    </row>
    <row r="339" spans="1:10" ht="19.5" customHeight="1" x14ac:dyDescent="0.3">
      <c r="A339" s="38" t="s">
        <v>1065</v>
      </c>
      <c r="B339" s="36"/>
      <c r="C339" s="36"/>
      <c r="D339" s="36"/>
      <c r="E339" s="36"/>
      <c r="F339" s="36"/>
      <c r="G339" s="34">
        <f t="shared" si="5"/>
        <v>0</v>
      </c>
      <c r="H339" s="36"/>
      <c r="I339" s="36"/>
      <c r="J339" s="36"/>
    </row>
    <row r="340" spans="1:10" ht="19.5" customHeight="1" x14ac:dyDescent="0.3">
      <c r="A340" s="38" t="s">
        <v>1066</v>
      </c>
      <c r="B340" s="32"/>
      <c r="C340" s="32"/>
      <c r="D340" s="32"/>
      <c r="E340" s="32"/>
      <c r="F340" s="32"/>
      <c r="G340" s="34">
        <f t="shared" si="5"/>
        <v>0</v>
      </c>
      <c r="H340" s="32"/>
      <c r="I340" s="32"/>
      <c r="J340" s="32"/>
    </row>
    <row r="341" spans="1:10" ht="19.5" customHeight="1" x14ac:dyDescent="0.3">
      <c r="A341" s="38" t="s">
        <v>1067</v>
      </c>
      <c r="B341" s="36"/>
      <c r="C341" s="36"/>
      <c r="D341" s="36"/>
      <c r="E341" s="36"/>
      <c r="F341" s="36"/>
      <c r="G341" s="34">
        <f t="shared" si="5"/>
        <v>0</v>
      </c>
      <c r="H341" s="36"/>
      <c r="I341" s="36"/>
      <c r="J341" s="36"/>
    </row>
    <row r="342" spans="1:10" ht="19.5" customHeight="1" x14ac:dyDescent="0.3">
      <c r="A342" s="38" t="s">
        <v>1068</v>
      </c>
      <c r="B342" s="32"/>
      <c r="C342" s="32"/>
      <c r="D342" s="32"/>
      <c r="E342" s="32"/>
      <c r="F342" s="32"/>
      <c r="G342" s="34">
        <f t="shared" si="5"/>
        <v>0</v>
      </c>
      <c r="H342" s="32"/>
      <c r="I342" s="32"/>
      <c r="J342" s="32"/>
    </row>
    <row r="343" spans="1:10" ht="19.5" customHeight="1" x14ac:dyDescent="0.3">
      <c r="A343" s="38" t="s">
        <v>1069</v>
      </c>
      <c r="B343" s="36"/>
      <c r="C343" s="36"/>
      <c r="D343" s="36"/>
      <c r="E343" s="36"/>
      <c r="F343" s="36"/>
      <c r="G343" s="34">
        <f t="shared" si="5"/>
        <v>0</v>
      </c>
      <c r="H343" s="36"/>
      <c r="I343" s="36"/>
      <c r="J343" s="36"/>
    </row>
    <row r="344" spans="1:10" ht="19.5" customHeight="1" x14ac:dyDescent="0.3">
      <c r="A344" s="38" t="s">
        <v>1070</v>
      </c>
      <c r="B344" s="32"/>
      <c r="C344" s="32"/>
      <c r="D344" s="32"/>
      <c r="E344" s="32"/>
      <c r="F344" s="32"/>
      <c r="G344" s="34">
        <f t="shared" si="5"/>
        <v>0</v>
      </c>
      <c r="H344" s="32"/>
      <c r="I344" s="32"/>
      <c r="J344" s="32"/>
    </row>
    <row r="345" spans="1:10" ht="19.5" customHeight="1" x14ac:dyDescent="0.3">
      <c r="A345" s="38" t="s">
        <v>1071</v>
      </c>
      <c r="B345" s="36"/>
      <c r="C345" s="36"/>
      <c r="D345" s="36"/>
      <c r="E345" s="36"/>
      <c r="F345" s="36"/>
      <c r="G345" s="34">
        <f t="shared" si="5"/>
        <v>0</v>
      </c>
      <c r="H345" s="36"/>
      <c r="I345" s="36"/>
      <c r="J345" s="36"/>
    </row>
    <row r="346" spans="1:10" ht="19.5" customHeight="1" x14ac:dyDescent="0.3">
      <c r="A346" s="38" t="s">
        <v>1072</v>
      </c>
      <c r="B346" s="32"/>
      <c r="C346" s="32"/>
      <c r="D346" s="32"/>
      <c r="E346" s="32"/>
      <c r="F346" s="32"/>
      <c r="G346" s="34">
        <f t="shared" si="5"/>
        <v>0</v>
      </c>
      <c r="H346" s="32"/>
      <c r="I346" s="32"/>
      <c r="J346" s="32"/>
    </row>
    <row r="347" spans="1:10" ht="19.5" customHeight="1" x14ac:dyDescent="0.3">
      <c r="A347" s="38" t="s">
        <v>1073</v>
      </c>
      <c r="B347" s="36"/>
      <c r="C347" s="36"/>
      <c r="D347" s="36"/>
      <c r="E347" s="36"/>
      <c r="F347" s="36"/>
      <c r="G347" s="34">
        <f t="shared" si="5"/>
        <v>0</v>
      </c>
      <c r="H347" s="36"/>
      <c r="I347" s="36"/>
      <c r="J347" s="36"/>
    </row>
    <row r="348" spans="1:10" ht="19.5" customHeight="1" x14ac:dyDescent="0.3">
      <c r="A348" s="38" t="s">
        <v>1074</v>
      </c>
      <c r="B348" s="32"/>
      <c r="C348" s="32"/>
      <c r="D348" s="32"/>
      <c r="E348" s="32"/>
      <c r="F348" s="32"/>
      <c r="G348" s="34">
        <f t="shared" si="5"/>
        <v>0</v>
      </c>
      <c r="H348" s="32"/>
      <c r="I348" s="32"/>
      <c r="J348" s="32"/>
    </row>
    <row r="349" spans="1:10" ht="19.5" customHeight="1" x14ac:dyDescent="0.3">
      <c r="A349" s="38" t="s">
        <v>1075</v>
      </c>
      <c r="B349" s="36"/>
      <c r="C349" s="36"/>
      <c r="D349" s="36"/>
      <c r="E349" s="36"/>
      <c r="F349" s="36"/>
      <c r="G349" s="34">
        <f t="shared" si="5"/>
        <v>0</v>
      </c>
      <c r="H349" s="36"/>
      <c r="I349" s="36"/>
      <c r="J349" s="36"/>
    </row>
    <row r="350" spans="1:10" ht="19.5" customHeight="1" x14ac:dyDescent="0.3">
      <c r="A350" s="38" t="s">
        <v>1076</v>
      </c>
      <c r="B350" s="32"/>
      <c r="C350" s="32"/>
      <c r="D350" s="32"/>
      <c r="E350" s="32"/>
      <c r="F350" s="32"/>
      <c r="G350" s="34">
        <f t="shared" si="5"/>
        <v>0</v>
      </c>
      <c r="H350" s="32"/>
      <c r="I350" s="32"/>
      <c r="J350" s="32"/>
    </row>
    <row r="351" spans="1:10" ht="19.5" customHeight="1" x14ac:dyDescent="0.3">
      <c r="A351" s="38" t="s">
        <v>1077</v>
      </c>
      <c r="B351" s="36"/>
      <c r="C351" s="36"/>
      <c r="D351" s="36"/>
      <c r="E351" s="36"/>
      <c r="F351" s="36"/>
      <c r="G351" s="34">
        <f t="shared" si="5"/>
        <v>0</v>
      </c>
      <c r="H351" s="36"/>
      <c r="I351" s="36"/>
      <c r="J351" s="36"/>
    </row>
    <row r="352" spans="1:10" ht="19.5" customHeight="1" x14ac:dyDescent="0.3">
      <c r="A352" s="38" t="s">
        <v>1078</v>
      </c>
      <c r="B352" s="32"/>
      <c r="C352" s="32"/>
      <c r="D352" s="32"/>
      <c r="E352" s="32"/>
      <c r="F352" s="32"/>
      <c r="G352" s="34">
        <f t="shared" si="5"/>
        <v>0</v>
      </c>
      <c r="H352" s="32"/>
      <c r="I352" s="32"/>
      <c r="J352" s="32"/>
    </row>
    <row r="353" spans="1:10" ht="19.5" customHeight="1" x14ac:dyDescent="0.3">
      <c r="A353" s="38" t="s">
        <v>1079</v>
      </c>
      <c r="B353" s="36"/>
      <c r="C353" s="36"/>
      <c r="D353" s="36"/>
      <c r="E353" s="36"/>
      <c r="F353" s="36"/>
      <c r="G353" s="34">
        <f t="shared" si="5"/>
        <v>0</v>
      </c>
      <c r="H353" s="36"/>
      <c r="I353" s="36"/>
      <c r="J353" s="36"/>
    </row>
    <row r="354" spans="1:10" ht="19.5" customHeight="1" x14ac:dyDescent="0.3">
      <c r="A354" s="38" t="s">
        <v>1080</v>
      </c>
      <c r="B354" s="32"/>
      <c r="C354" s="32"/>
      <c r="D354" s="32"/>
      <c r="E354" s="32"/>
      <c r="F354" s="32"/>
      <c r="G354" s="34">
        <f t="shared" si="5"/>
        <v>0</v>
      </c>
      <c r="H354" s="32"/>
      <c r="I354" s="32"/>
      <c r="J354" s="32"/>
    </row>
    <row r="355" spans="1:10" ht="19.5" customHeight="1" x14ac:dyDescent="0.3">
      <c r="A355" s="38" t="s">
        <v>1081</v>
      </c>
      <c r="B355" s="36"/>
      <c r="C355" s="36"/>
      <c r="D355" s="36"/>
      <c r="E355" s="36"/>
      <c r="F355" s="36"/>
      <c r="G355" s="34">
        <f t="shared" si="5"/>
        <v>0</v>
      </c>
      <c r="H355" s="36"/>
      <c r="I355" s="36"/>
      <c r="J355" s="36"/>
    </row>
    <row r="356" spans="1:10" ht="19.5" customHeight="1" x14ac:dyDescent="0.3">
      <c r="A356" s="38" t="s">
        <v>1082</v>
      </c>
      <c r="B356" s="32"/>
      <c r="C356" s="32"/>
      <c r="D356" s="32"/>
      <c r="E356" s="32"/>
      <c r="F356" s="32"/>
      <c r="G356" s="34">
        <f t="shared" si="5"/>
        <v>0</v>
      </c>
      <c r="H356" s="32"/>
      <c r="I356" s="32"/>
      <c r="J356" s="32"/>
    </row>
    <row r="357" spans="1:10" ht="19.5" customHeight="1" x14ac:dyDescent="0.3">
      <c r="A357" s="38" t="s">
        <v>1083</v>
      </c>
      <c r="B357" s="36"/>
      <c r="C357" s="36"/>
      <c r="D357" s="36"/>
      <c r="E357" s="36"/>
      <c r="F357" s="36"/>
      <c r="G357" s="34">
        <f t="shared" si="5"/>
        <v>0</v>
      </c>
      <c r="H357" s="36"/>
      <c r="I357" s="36"/>
      <c r="J357" s="36"/>
    </row>
    <row r="358" spans="1:10" ht="19.5" customHeight="1" x14ac:dyDescent="0.3">
      <c r="A358" s="38" t="s">
        <v>1084</v>
      </c>
      <c r="B358" s="32"/>
      <c r="C358" s="32"/>
      <c r="D358" s="32"/>
      <c r="E358" s="32"/>
      <c r="F358" s="32"/>
      <c r="G358" s="34">
        <f t="shared" si="5"/>
        <v>0</v>
      </c>
      <c r="H358" s="32"/>
      <c r="I358" s="32"/>
      <c r="J358" s="32"/>
    </row>
    <row r="359" spans="1:10" ht="19.5" customHeight="1" x14ac:dyDescent="0.3">
      <c r="A359" s="38" t="s">
        <v>1085</v>
      </c>
      <c r="B359" s="36"/>
      <c r="C359" s="36"/>
      <c r="D359" s="36"/>
      <c r="E359" s="36"/>
      <c r="F359" s="36"/>
      <c r="G359" s="34">
        <f t="shared" si="5"/>
        <v>0</v>
      </c>
      <c r="H359" s="36"/>
      <c r="I359" s="36"/>
      <c r="J359" s="36"/>
    </row>
    <row r="360" spans="1:10" ht="19.5" customHeight="1" x14ac:dyDescent="0.3">
      <c r="A360" s="38" t="s">
        <v>1086</v>
      </c>
      <c r="B360" s="32"/>
      <c r="C360" s="32"/>
      <c r="D360" s="32"/>
      <c r="E360" s="32"/>
      <c r="F360" s="32"/>
      <c r="G360" s="34">
        <f t="shared" si="5"/>
        <v>0</v>
      </c>
      <c r="H360" s="32"/>
      <c r="I360" s="32"/>
      <c r="J360" s="32"/>
    </row>
    <row r="361" spans="1:10" ht="19.5" customHeight="1" x14ac:dyDescent="0.3">
      <c r="A361" s="38" t="s">
        <v>1087</v>
      </c>
      <c r="B361" s="36"/>
      <c r="C361" s="36"/>
      <c r="D361" s="36"/>
      <c r="E361" s="36"/>
      <c r="F361" s="36"/>
      <c r="G361" s="34">
        <f t="shared" si="5"/>
        <v>0</v>
      </c>
      <c r="H361" s="36"/>
      <c r="I361" s="36"/>
      <c r="J361" s="36"/>
    </row>
    <row r="362" spans="1:10" ht="19.5" customHeight="1" x14ac:dyDescent="0.3">
      <c r="A362" s="38" t="s">
        <v>1088</v>
      </c>
      <c r="B362" s="32"/>
      <c r="C362" s="32"/>
      <c r="D362" s="32"/>
      <c r="E362" s="32"/>
      <c r="F362" s="32"/>
      <c r="G362" s="34">
        <f t="shared" si="5"/>
        <v>0</v>
      </c>
      <c r="H362" s="32"/>
      <c r="I362" s="32"/>
      <c r="J362" s="32"/>
    </row>
    <row r="363" spans="1:10" ht="19.5" customHeight="1" x14ac:dyDescent="0.3">
      <c r="A363" s="38" t="s">
        <v>1089</v>
      </c>
      <c r="B363" s="36"/>
      <c r="C363" s="36"/>
      <c r="D363" s="36"/>
      <c r="E363" s="36"/>
      <c r="F363" s="36"/>
      <c r="G363" s="34">
        <f t="shared" si="5"/>
        <v>0</v>
      </c>
      <c r="H363" s="36"/>
      <c r="I363" s="36"/>
      <c r="J363" s="36"/>
    </row>
    <row r="364" spans="1:10" ht="19.5" customHeight="1" x14ac:dyDescent="0.3">
      <c r="A364" s="38" t="s">
        <v>1090</v>
      </c>
      <c r="B364" s="32"/>
      <c r="C364" s="32"/>
      <c r="D364" s="32"/>
      <c r="E364" s="32"/>
      <c r="F364" s="32"/>
      <c r="G364" s="34">
        <f t="shared" si="5"/>
        <v>0</v>
      </c>
      <c r="H364" s="32"/>
      <c r="I364" s="32"/>
      <c r="J364" s="32"/>
    </row>
    <row r="365" spans="1:10" ht="19.5" customHeight="1" x14ac:dyDescent="0.3">
      <c r="A365" s="38" t="s">
        <v>1091</v>
      </c>
      <c r="B365" s="36"/>
      <c r="C365" s="36"/>
      <c r="D365" s="36"/>
      <c r="E365" s="36"/>
      <c r="F365" s="36"/>
      <c r="G365" s="34">
        <f t="shared" si="5"/>
        <v>0</v>
      </c>
      <c r="H365" s="36"/>
      <c r="I365" s="36"/>
      <c r="J365" s="36"/>
    </row>
    <row r="366" spans="1:10" ht="19.5" customHeight="1" x14ac:dyDescent="0.3">
      <c r="A366" s="38" t="s">
        <v>1092</v>
      </c>
      <c r="B366" s="32"/>
      <c r="C366" s="32"/>
      <c r="D366" s="32"/>
      <c r="E366" s="32"/>
      <c r="F366" s="32"/>
      <c r="G366" s="34">
        <f t="shared" si="5"/>
        <v>0</v>
      </c>
      <c r="H366" s="32"/>
      <c r="I366" s="32"/>
      <c r="J366" s="32"/>
    </row>
    <row r="367" spans="1:10" ht="19.5" customHeight="1" x14ac:dyDescent="0.3">
      <c r="A367" s="38" t="s">
        <v>1093</v>
      </c>
      <c r="B367" s="36"/>
      <c r="C367" s="36"/>
      <c r="D367" s="36"/>
      <c r="E367" s="36"/>
      <c r="F367" s="36"/>
      <c r="G367" s="34">
        <f t="shared" si="5"/>
        <v>0</v>
      </c>
      <c r="H367" s="36"/>
      <c r="I367" s="36"/>
      <c r="J367" s="36"/>
    </row>
    <row r="368" spans="1:10" ht="19.5" customHeight="1" x14ac:dyDescent="0.3">
      <c r="A368" s="38" t="s">
        <v>1094</v>
      </c>
      <c r="B368" s="32"/>
      <c r="C368" s="32"/>
      <c r="D368" s="32"/>
      <c r="E368" s="32"/>
      <c r="F368" s="32"/>
      <c r="G368" s="34">
        <f t="shared" si="5"/>
        <v>0</v>
      </c>
      <c r="H368" s="32"/>
      <c r="I368" s="32"/>
      <c r="J368" s="32"/>
    </row>
    <row r="369" spans="1:10" ht="19.5" customHeight="1" x14ac:dyDescent="0.3">
      <c r="A369" s="38" t="s">
        <v>1095</v>
      </c>
      <c r="B369" s="36"/>
      <c r="C369" s="36"/>
      <c r="D369" s="36"/>
      <c r="E369" s="36"/>
      <c r="F369" s="36"/>
      <c r="G369" s="34">
        <f t="shared" si="5"/>
        <v>0</v>
      </c>
      <c r="H369" s="36"/>
      <c r="I369" s="36"/>
      <c r="J369" s="36"/>
    </row>
    <row r="370" spans="1:10" ht="19.5" customHeight="1" x14ac:dyDescent="0.3">
      <c r="A370" s="38" t="s">
        <v>1096</v>
      </c>
      <c r="B370" s="32"/>
      <c r="C370" s="32"/>
      <c r="D370" s="32"/>
      <c r="E370" s="32"/>
      <c r="F370" s="32"/>
      <c r="G370" s="34">
        <f t="shared" si="5"/>
        <v>0</v>
      </c>
      <c r="H370" s="32"/>
      <c r="I370" s="32"/>
      <c r="J370" s="32"/>
    </row>
    <row r="371" spans="1:10" ht="19.5" customHeight="1" x14ac:dyDescent="0.3">
      <c r="A371" s="38" t="s">
        <v>1097</v>
      </c>
      <c r="B371" s="36"/>
      <c r="C371" s="36"/>
      <c r="D371" s="36"/>
      <c r="E371" s="36"/>
      <c r="F371" s="36"/>
      <c r="G371" s="34">
        <f t="shared" si="5"/>
        <v>0</v>
      </c>
      <c r="H371" s="36"/>
      <c r="I371" s="36"/>
      <c r="J371" s="36"/>
    </row>
    <row r="372" spans="1:10" ht="19.5" customHeight="1" x14ac:dyDescent="0.3">
      <c r="A372" s="38" t="s">
        <v>1098</v>
      </c>
      <c r="B372" s="32"/>
      <c r="C372" s="32"/>
      <c r="D372" s="32"/>
      <c r="E372" s="32"/>
      <c r="F372" s="32"/>
      <c r="G372" s="34">
        <f t="shared" si="5"/>
        <v>0</v>
      </c>
      <c r="H372" s="32"/>
      <c r="I372" s="32"/>
      <c r="J372" s="32"/>
    </row>
    <row r="373" spans="1:10" ht="19.5" customHeight="1" x14ac:dyDescent="0.3">
      <c r="A373" s="38" t="s">
        <v>1099</v>
      </c>
      <c r="B373" s="36"/>
      <c r="C373" s="36"/>
      <c r="D373" s="36"/>
      <c r="E373" s="36"/>
      <c r="F373" s="36"/>
      <c r="G373" s="34">
        <f t="shared" si="5"/>
        <v>0</v>
      </c>
      <c r="H373" s="36"/>
      <c r="I373" s="36"/>
      <c r="J373" s="36"/>
    </row>
    <row r="374" spans="1:10" ht="19.5" customHeight="1" x14ac:dyDescent="0.3">
      <c r="A374" s="38" t="s">
        <v>1100</v>
      </c>
      <c r="B374" s="32"/>
      <c r="C374" s="32"/>
      <c r="D374" s="32"/>
      <c r="E374" s="32"/>
      <c r="F374" s="32"/>
      <c r="G374" s="34">
        <f t="shared" si="5"/>
        <v>0</v>
      </c>
      <c r="H374" s="32"/>
      <c r="I374" s="32"/>
      <c r="J374" s="32"/>
    </row>
    <row r="375" spans="1:10" ht="19.5" customHeight="1" x14ac:dyDescent="0.3">
      <c r="A375" s="38" t="s">
        <v>1101</v>
      </c>
      <c r="B375" s="36"/>
      <c r="C375" s="36"/>
      <c r="D375" s="36"/>
      <c r="E375" s="36"/>
      <c r="F375" s="36"/>
      <c r="G375" s="34">
        <f t="shared" si="5"/>
        <v>0</v>
      </c>
      <c r="H375" s="36"/>
      <c r="I375" s="36"/>
      <c r="J375" s="36"/>
    </row>
    <row r="376" spans="1:10" ht="19.5" customHeight="1" x14ac:dyDescent="0.3">
      <c r="A376" s="38" t="s">
        <v>1102</v>
      </c>
      <c r="B376" s="32"/>
      <c r="C376" s="32"/>
      <c r="D376" s="32"/>
      <c r="E376" s="32"/>
      <c r="F376" s="32"/>
      <c r="G376" s="34">
        <f t="shared" si="5"/>
        <v>0</v>
      </c>
      <c r="H376" s="32"/>
      <c r="I376" s="32"/>
      <c r="J376" s="32"/>
    </row>
    <row r="377" spans="1:10" ht="19.5" customHeight="1" x14ac:dyDescent="0.3">
      <c r="A377" s="38" t="s">
        <v>1103</v>
      </c>
      <c r="B377" s="36"/>
      <c r="C377" s="36"/>
      <c r="D377" s="36"/>
      <c r="E377" s="36"/>
      <c r="F377" s="36"/>
      <c r="G377" s="34">
        <f t="shared" si="5"/>
        <v>0</v>
      </c>
      <c r="H377" s="36"/>
      <c r="I377" s="36"/>
      <c r="J377" s="36"/>
    </row>
    <row r="378" spans="1:10" ht="19.5" customHeight="1" x14ac:dyDescent="0.3">
      <c r="A378" s="38" t="s">
        <v>1104</v>
      </c>
      <c r="B378" s="32"/>
      <c r="C378" s="32"/>
      <c r="D378" s="32"/>
      <c r="E378" s="32"/>
      <c r="F378" s="32"/>
      <c r="G378" s="34">
        <f t="shared" si="5"/>
        <v>0</v>
      </c>
      <c r="H378" s="32"/>
      <c r="I378" s="32"/>
      <c r="J378" s="32"/>
    </row>
    <row r="379" spans="1:10" ht="19.5" customHeight="1" x14ac:dyDescent="0.3">
      <c r="A379" s="38" t="s">
        <v>1105</v>
      </c>
      <c r="B379" s="36"/>
      <c r="C379" s="36"/>
      <c r="D379" s="36"/>
      <c r="E379" s="36"/>
      <c r="F379" s="36"/>
      <c r="G379" s="34">
        <f t="shared" si="5"/>
        <v>0</v>
      </c>
      <c r="H379" s="36"/>
      <c r="I379" s="36"/>
      <c r="J379" s="36"/>
    </row>
    <row r="380" spans="1:10" ht="19.5" customHeight="1" x14ac:dyDescent="0.3">
      <c r="A380" s="38" t="s">
        <v>1106</v>
      </c>
      <c r="B380" s="32"/>
      <c r="C380" s="32"/>
      <c r="D380" s="32"/>
      <c r="E380" s="32"/>
      <c r="F380" s="32"/>
      <c r="G380" s="34">
        <f t="shared" si="5"/>
        <v>0</v>
      </c>
      <c r="H380" s="32"/>
      <c r="I380" s="32"/>
      <c r="J380" s="32"/>
    </row>
    <row r="381" spans="1:10" ht="19.5" customHeight="1" x14ac:dyDescent="0.3">
      <c r="A381" s="38" t="s">
        <v>1107</v>
      </c>
      <c r="B381" s="36"/>
      <c r="C381" s="36"/>
      <c r="D381" s="36"/>
      <c r="E381" s="36"/>
      <c r="F381" s="36"/>
      <c r="G381" s="34">
        <f t="shared" si="5"/>
        <v>0</v>
      </c>
      <c r="H381" s="36"/>
      <c r="I381" s="36"/>
      <c r="J381" s="36"/>
    </row>
    <row r="382" spans="1:10" ht="19.5" customHeight="1" x14ac:dyDescent="0.3">
      <c r="A382" s="38" t="s">
        <v>1108</v>
      </c>
      <c r="B382" s="32"/>
      <c r="C382" s="32"/>
      <c r="D382" s="32"/>
      <c r="E382" s="32"/>
      <c r="F382" s="32"/>
      <c r="G382" s="34">
        <f t="shared" si="5"/>
        <v>0</v>
      </c>
      <c r="H382" s="32"/>
      <c r="I382" s="32"/>
      <c r="J382" s="32"/>
    </row>
    <row r="383" spans="1:10" ht="19.5" customHeight="1" x14ac:dyDescent="0.3">
      <c r="A383" s="38" t="s">
        <v>1109</v>
      </c>
      <c r="B383" s="36"/>
      <c r="C383" s="36"/>
      <c r="D383" s="36"/>
      <c r="E383" s="36"/>
      <c r="F383" s="36"/>
      <c r="G383" s="34">
        <f t="shared" si="5"/>
        <v>0</v>
      </c>
      <c r="H383" s="36"/>
      <c r="I383" s="36"/>
      <c r="J383" s="36"/>
    </row>
    <row r="384" spans="1:10" ht="19.5" customHeight="1" x14ac:dyDescent="0.3">
      <c r="A384" s="38" t="s">
        <v>1110</v>
      </c>
      <c r="B384" s="32"/>
      <c r="C384" s="32"/>
      <c r="D384" s="32"/>
      <c r="E384" s="32"/>
      <c r="F384" s="32"/>
      <c r="G384" s="34">
        <f t="shared" si="5"/>
        <v>0</v>
      </c>
      <c r="H384" s="32"/>
      <c r="I384" s="32"/>
      <c r="J384" s="32"/>
    </row>
    <row r="385" spans="1:10" ht="19.5" customHeight="1" x14ac:dyDescent="0.3">
      <c r="A385" s="38" t="s">
        <v>1111</v>
      </c>
      <c r="B385" s="36"/>
      <c r="C385" s="36"/>
      <c r="D385" s="36"/>
      <c r="E385" s="36"/>
      <c r="F385" s="36"/>
      <c r="G385" s="34">
        <f t="shared" si="5"/>
        <v>0</v>
      </c>
      <c r="H385" s="36"/>
      <c r="I385" s="36"/>
      <c r="J385" s="36"/>
    </row>
    <row r="386" spans="1:10" ht="19.5" customHeight="1" x14ac:dyDescent="0.3">
      <c r="A386" s="38" t="s">
        <v>1112</v>
      </c>
      <c r="B386" s="32"/>
      <c r="C386" s="32"/>
      <c r="D386" s="32"/>
      <c r="E386" s="32"/>
      <c r="F386" s="32"/>
      <c r="G386" s="34">
        <f t="shared" si="5"/>
        <v>0</v>
      </c>
      <c r="H386" s="32"/>
      <c r="I386" s="32"/>
      <c r="J386" s="32"/>
    </row>
    <row r="387" spans="1:10" ht="19.5" customHeight="1" x14ac:dyDescent="0.3">
      <c r="A387" s="38" t="s">
        <v>1113</v>
      </c>
      <c r="B387" s="36"/>
      <c r="C387" s="36"/>
      <c r="D387" s="36"/>
      <c r="E387" s="36"/>
      <c r="F387" s="36"/>
      <c r="G387" s="34">
        <f t="shared" si="5"/>
        <v>0</v>
      </c>
      <c r="H387" s="36"/>
      <c r="I387" s="36"/>
      <c r="J387" s="36"/>
    </row>
    <row r="388" spans="1:10" ht="19.5" customHeight="1" x14ac:dyDescent="0.3">
      <c r="A388" s="38" t="s">
        <v>1114</v>
      </c>
      <c r="B388" s="32"/>
      <c r="C388" s="32"/>
      <c r="D388" s="32"/>
      <c r="E388" s="32"/>
      <c r="F388" s="32"/>
      <c r="G388" s="34">
        <f t="shared" si="5"/>
        <v>0</v>
      </c>
      <c r="H388" s="32"/>
      <c r="I388" s="32"/>
      <c r="J388" s="32"/>
    </row>
    <row r="389" spans="1:10" ht="19.5" customHeight="1" x14ac:dyDescent="0.3">
      <c r="A389" s="38" t="s">
        <v>1115</v>
      </c>
      <c r="B389" s="36"/>
      <c r="C389" s="36"/>
      <c r="D389" s="36"/>
      <c r="E389" s="36"/>
      <c r="F389" s="36"/>
      <c r="G389" s="34">
        <f t="shared" ref="G389:G452" si="6">G388+E389-F389</f>
        <v>0</v>
      </c>
      <c r="H389" s="36"/>
      <c r="I389" s="36"/>
      <c r="J389" s="36"/>
    </row>
    <row r="390" spans="1:10" ht="19.5" customHeight="1" x14ac:dyDescent="0.3">
      <c r="A390" s="38" t="s">
        <v>1116</v>
      </c>
      <c r="B390" s="32"/>
      <c r="C390" s="32"/>
      <c r="D390" s="32"/>
      <c r="E390" s="32"/>
      <c r="F390" s="32"/>
      <c r="G390" s="34">
        <f t="shared" si="6"/>
        <v>0</v>
      </c>
      <c r="H390" s="32"/>
      <c r="I390" s="32"/>
      <c r="J390" s="32"/>
    </row>
    <row r="391" spans="1:10" ht="19.5" customHeight="1" x14ac:dyDescent="0.3">
      <c r="A391" s="38" t="s">
        <v>1117</v>
      </c>
      <c r="B391" s="36"/>
      <c r="C391" s="36"/>
      <c r="D391" s="36"/>
      <c r="E391" s="36"/>
      <c r="F391" s="36"/>
      <c r="G391" s="34">
        <f t="shared" si="6"/>
        <v>0</v>
      </c>
      <c r="H391" s="36"/>
      <c r="I391" s="36"/>
      <c r="J391" s="36"/>
    </row>
    <row r="392" spans="1:10" ht="19.5" customHeight="1" x14ac:dyDescent="0.3">
      <c r="A392" s="38" t="s">
        <v>1118</v>
      </c>
      <c r="B392" s="32"/>
      <c r="C392" s="32"/>
      <c r="D392" s="32"/>
      <c r="E392" s="32"/>
      <c r="F392" s="32"/>
      <c r="G392" s="34">
        <f t="shared" si="6"/>
        <v>0</v>
      </c>
      <c r="H392" s="32"/>
      <c r="I392" s="32"/>
      <c r="J392" s="32"/>
    </row>
    <row r="393" spans="1:10" ht="19.5" customHeight="1" x14ac:dyDescent="0.3">
      <c r="A393" s="38" t="s">
        <v>1119</v>
      </c>
      <c r="B393" s="36"/>
      <c r="C393" s="36"/>
      <c r="D393" s="36"/>
      <c r="E393" s="36"/>
      <c r="F393" s="36"/>
      <c r="G393" s="34">
        <f t="shared" si="6"/>
        <v>0</v>
      </c>
      <c r="H393" s="36"/>
      <c r="I393" s="36"/>
      <c r="J393" s="36"/>
    </row>
    <row r="394" spans="1:10" ht="19.5" customHeight="1" x14ac:dyDescent="0.3">
      <c r="A394" s="38" t="s">
        <v>1120</v>
      </c>
      <c r="B394" s="32"/>
      <c r="C394" s="32"/>
      <c r="D394" s="32"/>
      <c r="E394" s="32"/>
      <c r="F394" s="32"/>
      <c r="G394" s="34">
        <f t="shared" si="6"/>
        <v>0</v>
      </c>
      <c r="H394" s="32"/>
      <c r="I394" s="32"/>
      <c r="J394" s="32"/>
    </row>
    <row r="395" spans="1:10" ht="19.5" customHeight="1" x14ac:dyDescent="0.3">
      <c r="A395" s="38" t="s">
        <v>1121</v>
      </c>
      <c r="B395" s="36"/>
      <c r="C395" s="36"/>
      <c r="D395" s="36"/>
      <c r="E395" s="36"/>
      <c r="F395" s="36"/>
      <c r="G395" s="34">
        <f t="shared" si="6"/>
        <v>0</v>
      </c>
      <c r="H395" s="36"/>
      <c r="I395" s="36"/>
      <c r="J395" s="36"/>
    </row>
    <row r="396" spans="1:10" ht="19.5" customHeight="1" x14ac:dyDescent="0.3">
      <c r="A396" s="38" t="s">
        <v>1122</v>
      </c>
      <c r="B396" s="32"/>
      <c r="C396" s="32"/>
      <c r="D396" s="32"/>
      <c r="E396" s="32"/>
      <c r="F396" s="32"/>
      <c r="G396" s="34">
        <f t="shared" si="6"/>
        <v>0</v>
      </c>
      <c r="H396" s="32"/>
      <c r="I396" s="32"/>
      <c r="J396" s="32"/>
    </row>
    <row r="397" spans="1:10" ht="19.5" customHeight="1" x14ac:dyDescent="0.3">
      <c r="A397" s="38" t="s">
        <v>1123</v>
      </c>
      <c r="B397" s="36"/>
      <c r="C397" s="36"/>
      <c r="D397" s="36"/>
      <c r="E397" s="36"/>
      <c r="F397" s="36"/>
      <c r="G397" s="34">
        <f t="shared" si="6"/>
        <v>0</v>
      </c>
      <c r="H397" s="36"/>
      <c r="I397" s="36"/>
      <c r="J397" s="36"/>
    </row>
    <row r="398" spans="1:10" ht="19.5" customHeight="1" x14ac:dyDescent="0.3">
      <c r="A398" s="38" t="s">
        <v>1124</v>
      </c>
      <c r="B398" s="32"/>
      <c r="C398" s="32"/>
      <c r="D398" s="32"/>
      <c r="E398" s="32"/>
      <c r="F398" s="32"/>
      <c r="G398" s="34">
        <f t="shared" si="6"/>
        <v>0</v>
      </c>
      <c r="H398" s="32"/>
      <c r="I398" s="32"/>
      <c r="J398" s="32"/>
    </row>
    <row r="399" spans="1:10" ht="19.5" customHeight="1" x14ac:dyDescent="0.3">
      <c r="A399" s="38" t="s">
        <v>1125</v>
      </c>
      <c r="B399" s="36"/>
      <c r="C399" s="36"/>
      <c r="D399" s="36"/>
      <c r="E399" s="36"/>
      <c r="F399" s="36"/>
      <c r="G399" s="34">
        <f t="shared" si="6"/>
        <v>0</v>
      </c>
      <c r="H399" s="36"/>
      <c r="I399" s="36"/>
      <c r="J399" s="36"/>
    </row>
    <row r="400" spans="1:10" ht="19.5" customHeight="1" x14ac:dyDescent="0.3">
      <c r="A400" s="38" t="s">
        <v>1126</v>
      </c>
      <c r="B400" s="32"/>
      <c r="C400" s="32"/>
      <c r="D400" s="32"/>
      <c r="E400" s="32"/>
      <c r="F400" s="32"/>
      <c r="G400" s="34">
        <f t="shared" si="6"/>
        <v>0</v>
      </c>
      <c r="H400" s="32"/>
      <c r="I400" s="32"/>
      <c r="J400" s="32"/>
    </row>
    <row r="401" spans="1:10" ht="19.5" customHeight="1" x14ac:dyDescent="0.3">
      <c r="A401" s="38" t="s">
        <v>1127</v>
      </c>
      <c r="B401" s="36"/>
      <c r="C401" s="36"/>
      <c r="D401" s="36"/>
      <c r="E401" s="36"/>
      <c r="F401" s="36"/>
      <c r="G401" s="34">
        <f t="shared" si="6"/>
        <v>0</v>
      </c>
      <c r="H401" s="36"/>
      <c r="I401" s="36"/>
      <c r="J401" s="36"/>
    </row>
    <row r="402" spans="1:10" ht="19.5" customHeight="1" x14ac:dyDescent="0.3">
      <c r="A402" s="38" t="s">
        <v>1128</v>
      </c>
      <c r="B402" s="32"/>
      <c r="C402" s="32"/>
      <c r="D402" s="32"/>
      <c r="E402" s="32"/>
      <c r="F402" s="32"/>
      <c r="G402" s="34">
        <f t="shared" si="6"/>
        <v>0</v>
      </c>
      <c r="H402" s="32"/>
      <c r="I402" s="32"/>
      <c r="J402" s="32"/>
    </row>
    <row r="403" spans="1:10" ht="19.5" customHeight="1" x14ac:dyDescent="0.3">
      <c r="A403" s="38" t="s">
        <v>1129</v>
      </c>
      <c r="B403" s="36"/>
      <c r="C403" s="36"/>
      <c r="D403" s="36"/>
      <c r="E403" s="36"/>
      <c r="F403" s="36"/>
      <c r="G403" s="34">
        <f t="shared" si="6"/>
        <v>0</v>
      </c>
      <c r="H403" s="36"/>
      <c r="I403" s="36"/>
      <c r="J403" s="36"/>
    </row>
    <row r="404" spans="1:10" ht="19.5" customHeight="1" x14ac:dyDescent="0.3">
      <c r="A404" s="38" t="s">
        <v>1130</v>
      </c>
      <c r="B404" s="32"/>
      <c r="C404" s="32"/>
      <c r="D404" s="32"/>
      <c r="E404" s="32"/>
      <c r="F404" s="32"/>
      <c r="G404" s="34">
        <f t="shared" si="6"/>
        <v>0</v>
      </c>
      <c r="H404" s="32"/>
      <c r="I404" s="32"/>
      <c r="J404" s="32"/>
    </row>
    <row r="405" spans="1:10" ht="19.5" customHeight="1" x14ac:dyDescent="0.3">
      <c r="A405" s="38" t="s">
        <v>1131</v>
      </c>
      <c r="B405" s="36"/>
      <c r="C405" s="36"/>
      <c r="D405" s="36"/>
      <c r="E405" s="36"/>
      <c r="F405" s="36"/>
      <c r="G405" s="34">
        <f t="shared" si="6"/>
        <v>0</v>
      </c>
      <c r="H405" s="36"/>
      <c r="I405" s="36"/>
      <c r="J405" s="36"/>
    </row>
    <row r="406" spans="1:10" ht="19.5" customHeight="1" x14ac:dyDescent="0.3">
      <c r="A406" s="38" t="s">
        <v>1132</v>
      </c>
      <c r="B406" s="32"/>
      <c r="C406" s="32"/>
      <c r="D406" s="32"/>
      <c r="E406" s="32"/>
      <c r="F406" s="32"/>
      <c r="G406" s="34">
        <f t="shared" si="6"/>
        <v>0</v>
      </c>
      <c r="H406" s="32"/>
      <c r="I406" s="32"/>
      <c r="J406" s="32"/>
    </row>
    <row r="407" spans="1:10" ht="19.5" customHeight="1" x14ac:dyDescent="0.3">
      <c r="A407" s="38" t="s">
        <v>1133</v>
      </c>
      <c r="B407" s="36"/>
      <c r="C407" s="36"/>
      <c r="D407" s="36"/>
      <c r="E407" s="36"/>
      <c r="F407" s="36"/>
      <c r="G407" s="34">
        <f t="shared" si="6"/>
        <v>0</v>
      </c>
      <c r="H407" s="36"/>
      <c r="I407" s="36"/>
      <c r="J407" s="36"/>
    </row>
    <row r="408" spans="1:10" ht="19.5" customHeight="1" x14ac:dyDescent="0.3">
      <c r="A408" s="38" t="s">
        <v>1134</v>
      </c>
      <c r="B408" s="32"/>
      <c r="C408" s="32"/>
      <c r="D408" s="32"/>
      <c r="E408" s="32"/>
      <c r="F408" s="32"/>
      <c r="G408" s="34">
        <f t="shared" si="6"/>
        <v>0</v>
      </c>
      <c r="H408" s="32"/>
      <c r="I408" s="32"/>
      <c r="J408" s="32"/>
    </row>
    <row r="409" spans="1:10" ht="19.5" customHeight="1" x14ac:dyDescent="0.3">
      <c r="A409" s="38" t="s">
        <v>1135</v>
      </c>
      <c r="B409" s="36"/>
      <c r="C409" s="36"/>
      <c r="D409" s="36"/>
      <c r="E409" s="36"/>
      <c r="F409" s="36"/>
      <c r="G409" s="34">
        <f t="shared" si="6"/>
        <v>0</v>
      </c>
      <c r="H409" s="36"/>
      <c r="I409" s="36"/>
      <c r="J409" s="36"/>
    </row>
    <row r="410" spans="1:10" ht="19.5" customHeight="1" x14ac:dyDescent="0.3">
      <c r="A410" s="38" t="s">
        <v>1136</v>
      </c>
      <c r="B410" s="32"/>
      <c r="C410" s="32"/>
      <c r="D410" s="32"/>
      <c r="E410" s="32"/>
      <c r="F410" s="32"/>
      <c r="G410" s="34">
        <f t="shared" si="6"/>
        <v>0</v>
      </c>
      <c r="H410" s="32"/>
      <c r="I410" s="32"/>
      <c r="J410" s="32"/>
    </row>
    <row r="411" spans="1:10" ht="19.5" customHeight="1" x14ac:dyDescent="0.3">
      <c r="A411" s="38" t="s">
        <v>1137</v>
      </c>
      <c r="B411" s="36"/>
      <c r="C411" s="36"/>
      <c r="D411" s="36"/>
      <c r="E411" s="36"/>
      <c r="F411" s="36"/>
      <c r="G411" s="34">
        <f t="shared" si="6"/>
        <v>0</v>
      </c>
      <c r="H411" s="36"/>
      <c r="I411" s="36"/>
      <c r="J411" s="36"/>
    </row>
    <row r="412" spans="1:10" ht="19.5" customHeight="1" x14ac:dyDescent="0.3">
      <c r="A412" s="38" t="s">
        <v>1138</v>
      </c>
      <c r="B412" s="32"/>
      <c r="C412" s="32"/>
      <c r="D412" s="32"/>
      <c r="E412" s="32"/>
      <c r="F412" s="32"/>
      <c r="G412" s="34">
        <f t="shared" si="6"/>
        <v>0</v>
      </c>
      <c r="H412" s="32"/>
      <c r="I412" s="32"/>
      <c r="J412" s="32"/>
    </row>
    <row r="413" spans="1:10" ht="19.5" customHeight="1" x14ac:dyDescent="0.3">
      <c r="A413" s="38" t="s">
        <v>1139</v>
      </c>
      <c r="B413" s="36"/>
      <c r="C413" s="36"/>
      <c r="D413" s="36"/>
      <c r="E413" s="36"/>
      <c r="F413" s="36"/>
      <c r="G413" s="34">
        <f t="shared" si="6"/>
        <v>0</v>
      </c>
      <c r="H413" s="36"/>
      <c r="I413" s="36"/>
      <c r="J413" s="36"/>
    </row>
    <row r="414" spans="1:10" ht="19.5" customHeight="1" x14ac:dyDescent="0.3">
      <c r="A414" s="38" t="s">
        <v>1140</v>
      </c>
      <c r="B414" s="32"/>
      <c r="C414" s="32"/>
      <c r="D414" s="32"/>
      <c r="E414" s="32"/>
      <c r="F414" s="32"/>
      <c r="G414" s="34">
        <f t="shared" si="6"/>
        <v>0</v>
      </c>
      <c r="H414" s="32"/>
      <c r="I414" s="32"/>
      <c r="J414" s="32"/>
    </row>
    <row r="415" spans="1:10" ht="19.5" customHeight="1" x14ac:dyDescent="0.3">
      <c r="A415" s="38" t="s">
        <v>1141</v>
      </c>
      <c r="B415" s="36"/>
      <c r="C415" s="36"/>
      <c r="D415" s="36"/>
      <c r="E415" s="36"/>
      <c r="F415" s="36"/>
      <c r="G415" s="34">
        <f t="shared" si="6"/>
        <v>0</v>
      </c>
      <c r="H415" s="36"/>
      <c r="I415" s="36"/>
      <c r="J415" s="36"/>
    </row>
    <row r="416" spans="1:10" ht="19.5" customHeight="1" x14ac:dyDescent="0.3">
      <c r="A416" s="38" t="s">
        <v>1142</v>
      </c>
      <c r="B416" s="32"/>
      <c r="C416" s="32"/>
      <c r="D416" s="32"/>
      <c r="E416" s="32"/>
      <c r="F416" s="32"/>
      <c r="G416" s="34">
        <f t="shared" si="6"/>
        <v>0</v>
      </c>
      <c r="H416" s="32"/>
      <c r="I416" s="32"/>
      <c r="J416" s="32"/>
    </row>
    <row r="417" spans="1:10" ht="19.5" customHeight="1" x14ac:dyDescent="0.3">
      <c r="A417" s="38" t="s">
        <v>1143</v>
      </c>
      <c r="B417" s="36"/>
      <c r="C417" s="36"/>
      <c r="D417" s="36"/>
      <c r="E417" s="36"/>
      <c r="F417" s="36"/>
      <c r="G417" s="34">
        <f t="shared" si="6"/>
        <v>0</v>
      </c>
      <c r="H417" s="36"/>
      <c r="I417" s="36"/>
      <c r="J417" s="36"/>
    </row>
    <row r="418" spans="1:10" ht="19.5" customHeight="1" x14ac:dyDescent="0.3">
      <c r="A418" s="38" t="s">
        <v>1144</v>
      </c>
      <c r="B418" s="32"/>
      <c r="C418" s="32"/>
      <c r="D418" s="32"/>
      <c r="E418" s="32"/>
      <c r="F418" s="32"/>
      <c r="G418" s="34">
        <f t="shared" si="6"/>
        <v>0</v>
      </c>
      <c r="H418" s="32"/>
      <c r="I418" s="32"/>
      <c r="J418" s="32"/>
    </row>
    <row r="419" spans="1:10" ht="19.5" customHeight="1" x14ac:dyDescent="0.3">
      <c r="A419" s="38" t="s">
        <v>1145</v>
      </c>
      <c r="B419" s="36"/>
      <c r="C419" s="36"/>
      <c r="D419" s="36"/>
      <c r="E419" s="36"/>
      <c r="F419" s="36"/>
      <c r="G419" s="34">
        <f t="shared" si="6"/>
        <v>0</v>
      </c>
      <c r="H419" s="36"/>
      <c r="I419" s="36"/>
      <c r="J419" s="36"/>
    </row>
    <row r="420" spans="1:10" ht="19.5" customHeight="1" x14ac:dyDescent="0.3">
      <c r="A420" s="38" t="s">
        <v>1146</v>
      </c>
      <c r="B420" s="32"/>
      <c r="C420" s="32"/>
      <c r="D420" s="32"/>
      <c r="E420" s="32"/>
      <c r="F420" s="32"/>
      <c r="G420" s="34">
        <f t="shared" si="6"/>
        <v>0</v>
      </c>
      <c r="H420" s="32"/>
      <c r="I420" s="32"/>
      <c r="J420" s="32"/>
    </row>
    <row r="421" spans="1:10" ht="19.5" customHeight="1" x14ac:dyDescent="0.3">
      <c r="A421" s="38" t="s">
        <v>1147</v>
      </c>
      <c r="B421" s="36"/>
      <c r="C421" s="36"/>
      <c r="D421" s="36"/>
      <c r="E421" s="36"/>
      <c r="F421" s="36"/>
      <c r="G421" s="34">
        <f t="shared" si="6"/>
        <v>0</v>
      </c>
      <c r="H421" s="36"/>
      <c r="I421" s="36"/>
      <c r="J421" s="36"/>
    </row>
    <row r="422" spans="1:10" ht="19.5" customHeight="1" x14ac:dyDescent="0.3">
      <c r="A422" s="38" t="s">
        <v>1148</v>
      </c>
      <c r="B422" s="32"/>
      <c r="C422" s="32"/>
      <c r="D422" s="32"/>
      <c r="E422" s="32"/>
      <c r="F422" s="32"/>
      <c r="G422" s="34">
        <f t="shared" si="6"/>
        <v>0</v>
      </c>
      <c r="H422" s="32"/>
      <c r="I422" s="32"/>
      <c r="J422" s="32"/>
    </row>
    <row r="423" spans="1:10" ht="19.5" customHeight="1" x14ac:dyDescent="0.3">
      <c r="A423" s="38" t="s">
        <v>1149</v>
      </c>
      <c r="B423" s="36"/>
      <c r="C423" s="36"/>
      <c r="D423" s="36"/>
      <c r="E423" s="36"/>
      <c r="F423" s="36"/>
      <c r="G423" s="34">
        <f t="shared" si="6"/>
        <v>0</v>
      </c>
      <c r="H423" s="36"/>
      <c r="I423" s="36"/>
      <c r="J423" s="36"/>
    </row>
    <row r="424" spans="1:10" ht="19.5" customHeight="1" x14ac:dyDescent="0.3">
      <c r="A424" s="38" t="s">
        <v>1150</v>
      </c>
      <c r="B424" s="32"/>
      <c r="C424" s="32"/>
      <c r="D424" s="32"/>
      <c r="E424" s="32"/>
      <c r="F424" s="32"/>
      <c r="G424" s="34">
        <f t="shared" si="6"/>
        <v>0</v>
      </c>
      <c r="H424" s="32"/>
      <c r="I424" s="32"/>
      <c r="J424" s="32"/>
    </row>
    <row r="425" spans="1:10" ht="19.5" customHeight="1" x14ac:dyDescent="0.3">
      <c r="A425" s="38" t="s">
        <v>1151</v>
      </c>
      <c r="B425" s="36"/>
      <c r="C425" s="36"/>
      <c r="D425" s="36"/>
      <c r="E425" s="36"/>
      <c r="F425" s="36"/>
      <c r="G425" s="34">
        <f t="shared" si="6"/>
        <v>0</v>
      </c>
      <c r="H425" s="36"/>
      <c r="I425" s="36"/>
      <c r="J425" s="36"/>
    </row>
    <row r="426" spans="1:10" ht="19.5" customHeight="1" x14ac:dyDescent="0.3">
      <c r="A426" s="38" t="s">
        <v>1152</v>
      </c>
      <c r="B426" s="32"/>
      <c r="C426" s="32"/>
      <c r="D426" s="32"/>
      <c r="E426" s="32"/>
      <c r="F426" s="32"/>
      <c r="G426" s="34">
        <f t="shared" si="6"/>
        <v>0</v>
      </c>
      <c r="H426" s="32"/>
      <c r="I426" s="32"/>
      <c r="J426" s="32"/>
    </row>
    <row r="427" spans="1:10" ht="19.5" customHeight="1" x14ac:dyDescent="0.3">
      <c r="A427" s="38" t="s">
        <v>1153</v>
      </c>
      <c r="B427" s="36"/>
      <c r="C427" s="36"/>
      <c r="D427" s="36"/>
      <c r="E427" s="36"/>
      <c r="F427" s="36"/>
      <c r="G427" s="34">
        <f t="shared" si="6"/>
        <v>0</v>
      </c>
      <c r="H427" s="36"/>
      <c r="I427" s="36"/>
      <c r="J427" s="36"/>
    </row>
    <row r="428" spans="1:10" ht="19.5" customHeight="1" x14ac:dyDescent="0.3">
      <c r="A428" s="38" t="s">
        <v>1154</v>
      </c>
      <c r="B428" s="32"/>
      <c r="C428" s="32"/>
      <c r="D428" s="32"/>
      <c r="E428" s="32"/>
      <c r="F428" s="32"/>
      <c r="G428" s="34">
        <f t="shared" si="6"/>
        <v>0</v>
      </c>
      <c r="H428" s="32"/>
      <c r="I428" s="32"/>
      <c r="J428" s="32"/>
    </row>
    <row r="429" spans="1:10" ht="19.5" customHeight="1" x14ac:dyDescent="0.3">
      <c r="A429" s="38" t="s">
        <v>1155</v>
      </c>
      <c r="B429" s="36"/>
      <c r="C429" s="36"/>
      <c r="D429" s="36"/>
      <c r="E429" s="36"/>
      <c r="F429" s="36"/>
      <c r="G429" s="34">
        <f t="shared" si="6"/>
        <v>0</v>
      </c>
      <c r="H429" s="36"/>
      <c r="I429" s="36"/>
      <c r="J429" s="36"/>
    </row>
    <row r="430" spans="1:10" ht="19.5" customHeight="1" x14ac:dyDescent="0.3">
      <c r="A430" s="38" t="s">
        <v>1156</v>
      </c>
      <c r="B430" s="32"/>
      <c r="C430" s="32"/>
      <c r="D430" s="32"/>
      <c r="E430" s="32"/>
      <c r="F430" s="32"/>
      <c r="G430" s="34">
        <f t="shared" si="6"/>
        <v>0</v>
      </c>
      <c r="H430" s="32"/>
      <c r="I430" s="32"/>
      <c r="J430" s="32"/>
    </row>
    <row r="431" spans="1:10" ht="19.5" customHeight="1" x14ac:dyDescent="0.3">
      <c r="A431" s="38" t="s">
        <v>1157</v>
      </c>
      <c r="B431" s="36"/>
      <c r="C431" s="36"/>
      <c r="D431" s="36"/>
      <c r="E431" s="36"/>
      <c r="F431" s="36"/>
      <c r="G431" s="34">
        <f t="shared" si="6"/>
        <v>0</v>
      </c>
      <c r="H431" s="36"/>
      <c r="I431" s="36"/>
      <c r="J431" s="36"/>
    </row>
    <row r="432" spans="1:10" ht="19.5" customHeight="1" x14ac:dyDescent="0.3">
      <c r="A432" s="38" t="s">
        <v>1158</v>
      </c>
      <c r="B432" s="32"/>
      <c r="C432" s="32"/>
      <c r="D432" s="32"/>
      <c r="E432" s="32"/>
      <c r="F432" s="32"/>
      <c r="G432" s="34">
        <f t="shared" si="6"/>
        <v>0</v>
      </c>
      <c r="H432" s="32"/>
      <c r="I432" s="32"/>
      <c r="J432" s="32"/>
    </row>
    <row r="433" spans="1:10" ht="19.5" customHeight="1" x14ac:dyDescent="0.3">
      <c r="A433" s="38" t="s">
        <v>1159</v>
      </c>
      <c r="B433" s="36"/>
      <c r="C433" s="36"/>
      <c r="D433" s="36"/>
      <c r="E433" s="36"/>
      <c r="F433" s="36"/>
      <c r="G433" s="34">
        <f t="shared" si="6"/>
        <v>0</v>
      </c>
      <c r="H433" s="36"/>
      <c r="I433" s="36"/>
      <c r="J433" s="36"/>
    </row>
    <row r="434" spans="1:10" ht="19.5" customHeight="1" x14ac:dyDescent="0.3">
      <c r="A434" s="38" t="s">
        <v>1160</v>
      </c>
      <c r="B434" s="32"/>
      <c r="C434" s="32"/>
      <c r="D434" s="32"/>
      <c r="E434" s="32"/>
      <c r="F434" s="32"/>
      <c r="G434" s="34">
        <f t="shared" si="6"/>
        <v>0</v>
      </c>
      <c r="H434" s="32"/>
      <c r="I434" s="32"/>
      <c r="J434" s="32"/>
    </row>
    <row r="435" spans="1:10" ht="19.5" customHeight="1" x14ac:dyDescent="0.3">
      <c r="A435" s="38" t="s">
        <v>1161</v>
      </c>
      <c r="B435" s="36"/>
      <c r="C435" s="36"/>
      <c r="D435" s="36"/>
      <c r="E435" s="36"/>
      <c r="F435" s="36"/>
      <c r="G435" s="34">
        <f t="shared" si="6"/>
        <v>0</v>
      </c>
      <c r="H435" s="36"/>
      <c r="I435" s="36"/>
      <c r="J435" s="36"/>
    </row>
    <row r="436" spans="1:10" ht="19.5" customHeight="1" x14ac:dyDescent="0.3">
      <c r="A436" s="38" t="s">
        <v>1162</v>
      </c>
      <c r="B436" s="32"/>
      <c r="C436" s="32"/>
      <c r="D436" s="32"/>
      <c r="E436" s="32"/>
      <c r="F436" s="32"/>
      <c r="G436" s="34">
        <f t="shared" si="6"/>
        <v>0</v>
      </c>
      <c r="H436" s="32"/>
      <c r="I436" s="32"/>
      <c r="J436" s="32"/>
    </row>
    <row r="437" spans="1:10" ht="19.5" customHeight="1" x14ac:dyDescent="0.3">
      <c r="A437" s="38" t="s">
        <v>1163</v>
      </c>
      <c r="B437" s="36"/>
      <c r="C437" s="36"/>
      <c r="D437" s="36"/>
      <c r="E437" s="36"/>
      <c r="F437" s="36"/>
      <c r="G437" s="34">
        <f t="shared" si="6"/>
        <v>0</v>
      </c>
      <c r="H437" s="36"/>
      <c r="I437" s="36"/>
      <c r="J437" s="36"/>
    </row>
    <row r="438" spans="1:10" ht="19.5" customHeight="1" x14ac:dyDescent="0.3">
      <c r="A438" s="38" t="s">
        <v>1164</v>
      </c>
      <c r="B438" s="32"/>
      <c r="C438" s="32"/>
      <c r="D438" s="32"/>
      <c r="E438" s="32"/>
      <c r="F438" s="32"/>
      <c r="G438" s="34">
        <f t="shared" si="6"/>
        <v>0</v>
      </c>
      <c r="H438" s="32"/>
      <c r="I438" s="32"/>
      <c r="J438" s="32"/>
    </row>
    <row r="439" spans="1:10" ht="19.5" customHeight="1" x14ac:dyDescent="0.3">
      <c r="A439" s="38" t="s">
        <v>1165</v>
      </c>
      <c r="B439" s="36"/>
      <c r="C439" s="36"/>
      <c r="D439" s="36"/>
      <c r="E439" s="36"/>
      <c r="F439" s="36"/>
      <c r="G439" s="34">
        <f t="shared" si="6"/>
        <v>0</v>
      </c>
      <c r="H439" s="36"/>
      <c r="I439" s="36"/>
      <c r="J439" s="36"/>
    </row>
    <row r="440" spans="1:10" ht="19.5" customHeight="1" x14ac:dyDescent="0.3">
      <c r="A440" s="38" t="s">
        <v>1166</v>
      </c>
      <c r="B440" s="32"/>
      <c r="C440" s="32"/>
      <c r="D440" s="32"/>
      <c r="E440" s="32"/>
      <c r="F440" s="32"/>
      <c r="G440" s="34">
        <f t="shared" si="6"/>
        <v>0</v>
      </c>
      <c r="H440" s="32"/>
      <c r="I440" s="32"/>
      <c r="J440" s="32"/>
    </row>
    <row r="441" spans="1:10" ht="19.5" customHeight="1" x14ac:dyDescent="0.3">
      <c r="A441" s="38" t="s">
        <v>1167</v>
      </c>
      <c r="B441" s="36"/>
      <c r="C441" s="36"/>
      <c r="D441" s="36"/>
      <c r="E441" s="36"/>
      <c r="F441" s="36"/>
      <c r="G441" s="34">
        <f t="shared" si="6"/>
        <v>0</v>
      </c>
      <c r="H441" s="36"/>
      <c r="I441" s="36"/>
      <c r="J441" s="36"/>
    </row>
    <row r="442" spans="1:10" ht="19.5" customHeight="1" x14ac:dyDescent="0.3">
      <c r="A442" s="38" t="s">
        <v>1168</v>
      </c>
      <c r="B442" s="32"/>
      <c r="C442" s="32"/>
      <c r="D442" s="32"/>
      <c r="E442" s="32"/>
      <c r="F442" s="32"/>
      <c r="G442" s="34">
        <f t="shared" si="6"/>
        <v>0</v>
      </c>
      <c r="H442" s="32"/>
      <c r="I442" s="32"/>
      <c r="J442" s="32"/>
    </row>
    <row r="443" spans="1:10" ht="19.5" customHeight="1" x14ac:dyDescent="0.3">
      <c r="A443" s="38" t="s">
        <v>1169</v>
      </c>
      <c r="B443" s="36"/>
      <c r="C443" s="36"/>
      <c r="D443" s="36"/>
      <c r="E443" s="36"/>
      <c r="F443" s="36"/>
      <c r="G443" s="34">
        <f t="shared" si="6"/>
        <v>0</v>
      </c>
      <c r="H443" s="36"/>
      <c r="I443" s="36"/>
      <c r="J443" s="36"/>
    </row>
    <row r="444" spans="1:10" ht="19.5" customHeight="1" x14ac:dyDescent="0.3">
      <c r="A444" s="38" t="s">
        <v>1170</v>
      </c>
      <c r="B444" s="32"/>
      <c r="C444" s="32"/>
      <c r="D444" s="32"/>
      <c r="E444" s="32"/>
      <c r="F444" s="32"/>
      <c r="G444" s="34">
        <f t="shared" si="6"/>
        <v>0</v>
      </c>
      <c r="H444" s="32"/>
      <c r="I444" s="32"/>
      <c r="J444" s="32"/>
    </row>
    <row r="445" spans="1:10" ht="19.5" customHeight="1" x14ac:dyDescent="0.3">
      <c r="A445" s="38" t="s">
        <v>1171</v>
      </c>
      <c r="B445" s="36"/>
      <c r="C445" s="36"/>
      <c r="D445" s="36"/>
      <c r="E445" s="36"/>
      <c r="F445" s="36"/>
      <c r="G445" s="34">
        <f t="shared" si="6"/>
        <v>0</v>
      </c>
      <c r="H445" s="36"/>
      <c r="I445" s="36"/>
      <c r="J445" s="36"/>
    </row>
    <row r="446" spans="1:10" ht="19.5" customHeight="1" x14ac:dyDescent="0.3">
      <c r="A446" s="38" t="s">
        <v>1172</v>
      </c>
      <c r="B446" s="32"/>
      <c r="C446" s="32"/>
      <c r="D446" s="32"/>
      <c r="E446" s="32"/>
      <c r="F446" s="32"/>
      <c r="G446" s="34">
        <f t="shared" si="6"/>
        <v>0</v>
      </c>
      <c r="H446" s="32"/>
      <c r="I446" s="32"/>
      <c r="J446" s="32"/>
    </row>
    <row r="447" spans="1:10" ht="19.5" customHeight="1" x14ac:dyDescent="0.3">
      <c r="A447" s="38" t="s">
        <v>1173</v>
      </c>
      <c r="B447" s="36"/>
      <c r="C447" s="36"/>
      <c r="D447" s="36"/>
      <c r="E447" s="36"/>
      <c r="F447" s="36"/>
      <c r="G447" s="34">
        <f t="shared" si="6"/>
        <v>0</v>
      </c>
      <c r="H447" s="36"/>
      <c r="I447" s="36"/>
      <c r="J447" s="36"/>
    </row>
    <row r="448" spans="1:10" ht="19.5" customHeight="1" x14ac:dyDescent="0.3">
      <c r="A448" s="38" t="s">
        <v>1174</v>
      </c>
      <c r="B448" s="32"/>
      <c r="C448" s="32"/>
      <c r="D448" s="32"/>
      <c r="E448" s="32"/>
      <c r="F448" s="32"/>
      <c r="G448" s="34">
        <f t="shared" si="6"/>
        <v>0</v>
      </c>
      <c r="H448" s="32"/>
      <c r="I448" s="32"/>
      <c r="J448" s="32"/>
    </row>
    <row r="449" spans="1:10" ht="19.5" customHeight="1" x14ac:dyDescent="0.3">
      <c r="A449" s="38" t="s">
        <v>1175</v>
      </c>
      <c r="B449" s="36"/>
      <c r="C449" s="36"/>
      <c r="D449" s="36"/>
      <c r="E449" s="36"/>
      <c r="F449" s="36"/>
      <c r="G449" s="34">
        <f t="shared" si="6"/>
        <v>0</v>
      </c>
      <c r="H449" s="36"/>
      <c r="I449" s="36"/>
      <c r="J449" s="36"/>
    </row>
    <row r="450" spans="1:10" ht="19.5" customHeight="1" x14ac:dyDescent="0.3">
      <c r="A450" s="38" t="s">
        <v>1176</v>
      </c>
      <c r="B450" s="32"/>
      <c r="C450" s="32"/>
      <c r="D450" s="32"/>
      <c r="E450" s="32"/>
      <c r="F450" s="32"/>
      <c r="G450" s="34">
        <f t="shared" si="6"/>
        <v>0</v>
      </c>
      <c r="H450" s="32"/>
      <c r="I450" s="32"/>
      <c r="J450" s="32"/>
    </row>
    <row r="451" spans="1:10" ht="19.5" customHeight="1" x14ac:dyDescent="0.3">
      <c r="A451" s="38" t="s">
        <v>1177</v>
      </c>
      <c r="B451" s="36"/>
      <c r="C451" s="36"/>
      <c r="D451" s="36"/>
      <c r="E451" s="36"/>
      <c r="F451" s="36"/>
      <c r="G451" s="34">
        <f t="shared" si="6"/>
        <v>0</v>
      </c>
      <c r="H451" s="36"/>
      <c r="I451" s="36"/>
      <c r="J451" s="36"/>
    </row>
    <row r="452" spans="1:10" ht="19.5" customHeight="1" x14ac:dyDescent="0.3">
      <c r="A452" s="38" t="s">
        <v>1178</v>
      </c>
      <c r="B452" s="32"/>
      <c r="C452" s="32"/>
      <c r="D452" s="32"/>
      <c r="E452" s="32"/>
      <c r="F452" s="32"/>
      <c r="G452" s="34">
        <f t="shared" si="6"/>
        <v>0</v>
      </c>
      <c r="H452" s="32"/>
      <c r="I452" s="32"/>
      <c r="J452" s="32"/>
    </row>
    <row r="453" spans="1:10" ht="19.5" customHeight="1" x14ac:dyDescent="0.3">
      <c r="A453" s="38" t="s">
        <v>1179</v>
      </c>
      <c r="B453" s="36"/>
      <c r="C453" s="36"/>
      <c r="D453" s="36"/>
      <c r="E453" s="36"/>
      <c r="F453" s="36"/>
      <c r="G453" s="34">
        <f t="shared" ref="G453:G503" si="7">G452+E453-F453</f>
        <v>0</v>
      </c>
      <c r="H453" s="36"/>
      <c r="I453" s="36"/>
      <c r="J453" s="36"/>
    </row>
    <row r="454" spans="1:10" ht="19.5" customHeight="1" x14ac:dyDescent="0.3">
      <c r="A454" s="38" t="s">
        <v>1180</v>
      </c>
      <c r="B454" s="32"/>
      <c r="C454" s="32"/>
      <c r="D454" s="32"/>
      <c r="E454" s="32"/>
      <c r="F454" s="32"/>
      <c r="G454" s="34">
        <f t="shared" si="7"/>
        <v>0</v>
      </c>
      <c r="H454" s="32"/>
      <c r="I454" s="32"/>
      <c r="J454" s="32"/>
    </row>
    <row r="455" spans="1:10" ht="19.5" customHeight="1" x14ac:dyDescent="0.3">
      <c r="A455" s="38" t="s">
        <v>1181</v>
      </c>
      <c r="B455" s="36"/>
      <c r="C455" s="36"/>
      <c r="D455" s="36"/>
      <c r="E455" s="36"/>
      <c r="F455" s="36"/>
      <c r="G455" s="34">
        <f t="shared" si="7"/>
        <v>0</v>
      </c>
      <c r="H455" s="36"/>
      <c r="I455" s="36"/>
      <c r="J455" s="36"/>
    </row>
    <row r="456" spans="1:10" ht="19.5" customHeight="1" x14ac:dyDescent="0.3">
      <c r="A456" s="38" t="s">
        <v>1182</v>
      </c>
      <c r="B456" s="32"/>
      <c r="C456" s="32"/>
      <c r="D456" s="32"/>
      <c r="E456" s="32"/>
      <c r="F456" s="32"/>
      <c r="G456" s="34">
        <f t="shared" si="7"/>
        <v>0</v>
      </c>
      <c r="H456" s="32"/>
      <c r="I456" s="32"/>
      <c r="J456" s="32"/>
    </row>
    <row r="457" spans="1:10" ht="19.5" customHeight="1" x14ac:dyDescent="0.3">
      <c r="A457" s="38" t="s">
        <v>1183</v>
      </c>
      <c r="B457" s="36"/>
      <c r="C457" s="36"/>
      <c r="D457" s="36"/>
      <c r="E457" s="36"/>
      <c r="F457" s="36"/>
      <c r="G457" s="34">
        <f t="shared" si="7"/>
        <v>0</v>
      </c>
      <c r="H457" s="36"/>
      <c r="I457" s="36"/>
      <c r="J457" s="36"/>
    </row>
    <row r="458" spans="1:10" ht="19.5" customHeight="1" x14ac:dyDescent="0.3">
      <c r="A458" s="38" t="s">
        <v>1184</v>
      </c>
      <c r="B458" s="32"/>
      <c r="C458" s="32"/>
      <c r="D458" s="32"/>
      <c r="E458" s="32"/>
      <c r="F458" s="32"/>
      <c r="G458" s="34">
        <f t="shared" si="7"/>
        <v>0</v>
      </c>
      <c r="H458" s="32"/>
      <c r="I458" s="32"/>
      <c r="J458" s="32"/>
    </row>
    <row r="459" spans="1:10" ht="19.5" customHeight="1" x14ac:dyDescent="0.3">
      <c r="A459" s="38" t="s">
        <v>1185</v>
      </c>
      <c r="B459" s="36"/>
      <c r="C459" s="36"/>
      <c r="D459" s="36"/>
      <c r="E459" s="36"/>
      <c r="F459" s="36"/>
      <c r="G459" s="34">
        <f t="shared" si="7"/>
        <v>0</v>
      </c>
      <c r="H459" s="36"/>
      <c r="I459" s="36"/>
      <c r="J459" s="36"/>
    </row>
    <row r="460" spans="1:10" ht="19.5" customHeight="1" x14ac:dyDescent="0.3">
      <c r="A460" s="38" t="s">
        <v>1186</v>
      </c>
      <c r="B460" s="32"/>
      <c r="C460" s="32"/>
      <c r="D460" s="32"/>
      <c r="E460" s="32"/>
      <c r="F460" s="32"/>
      <c r="G460" s="34">
        <f t="shared" si="7"/>
        <v>0</v>
      </c>
      <c r="H460" s="32"/>
      <c r="I460" s="32"/>
      <c r="J460" s="32"/>
    </row>
    <row r="461" spans="1:10" ht="19.5" customHeight="1" x14ac:dyDescent="0.3">
      <c r="A461" s="38" t="s">
        <v>1187</v>
      </c>
      <c r="B461" s="36"/>
      <c r="C461" s="36"/>
      <c r="D461" s="36"/>
      <c r="E461" s="36"/>
      <c r="F461" s="36"/>
      <c r="G461" s="34">
        <f t="shared" si="7"/>
        <v>0</v>
      </c>
      <c r="H461" s="36"/>
      <c r="I461" s="36"/>
      <c r="J461" s="36"/>
    </row>
    <row r="462" spans="1:10" ht="19.5" customHeight="1" x14ac:dyDescent="0.3">
      <c r="A462" s="38" t="s">
        <v>1188</v>
      </c>
      <c r="B462" s="32"/>
      <c r="C462" s="32"/>
      <c r="D462" s="32"/>
      <c r="E462" s="32"/>
      <c r="F462" s="32"/>
      <c r="G462" s="34">
        <f t="shared" si="7"/>
        <v>0</v>
      </c>
      <c r="H462" s="32"/>
      <c r="I462" s="32"/>
      <c r="J462" s="32"/>
    </row>
    <row r="463" spans="1:10" ht="19.5" customHeight="1" x14ac:dyDescent="0.3">
      <c r="A463" s="38" t="s">
        <v>1189</v>
      </c>
      <c r="B463" s="36"/>
      <c r="C463" s="36"/>
      <c r="D463" s="36"/>
      <c r="E463" s="36"/>
      <c r="F463" s="36"/>
      <c r="G463" s="34">
        <f t="shared" si="7"/>
        <v>0</v>
      </c>
      <c r="H463" s="36"/>
      <c r="I463" s="36"/>
      <c r="J463" s="36"/>
    </row>
    <row r="464" spans="1:10" ht="19.5" customHeight="1" x14ac:dyDescent="0.3">
      <c r="A464" s="38" t="s">
        <v>1190</v>
      </c>
      <c r="B464" s="32"/>
      <c r="C464" s="32"/>
      <c r="D464" s="32"/>
      <c r="E464" s="32"/>
      <c r="F464" s="32"/>
      <c r="G464" s="34">
        <f t="shared" si="7"/>
        <v>0</v>
      </c>
      <c r="H464" s="32"/>
      <c r="I464" s="32"/>
      <c r="J464" s="32"/>
    </row>
    <row r="465" spans="1:10" ht="19.5" customHeight="1" x14ac:dyDescent="0.3">
      <c r="A465" s="38" t="s">
        <v>1191</v>
      </c>
      <c r="B465" s="36"/>
      <c r="C465" s="36"/>
      <c r="D465" s="36"/>
      <c r="E465" s="36"/>
      <c r="F465" s="36"/>
      <c r="G465" s="34">
        <f t="shared" si="7"/>
        <v>0</v>
      </c>
      <c r="H465" s="36"/>
      <c r="I465" s="36"/>
      <c r="J465" s="36"/>
    </row>
    <row r="466" spans="1:10" ht="19.5" customHeight="1" x14ac:dyDescent="0.3">
      <c r="A466" s="38" t="s">
        <v>1192</v>
      </c>
      <c r="B466" s="32"/>
      <c r="C466" s="32"/>
      <c r="D466" s="32"/>
      <c r="E466" s="32"/>
      <c r="F466" s="32"/>
      <c r="G466" s="34">
        <f t="shared" si="7"/>
        <v>0</v>
      </c>
      <c r="H466" s="32"/>
      <c r="I466" s="32"/>
      <c r="J466" s="32"/>
    </row>
    <row r="467" spans="1:10" ht="19.5" customHeight="1" x14ac:dyDescent="0.3">
      <c r="A467" s="38" t="s">
        <v>1193</v>
      </c>
      <c r="B467" s="36"/>
      <c r="C467" s="36"/>
      <c r="D467" s="36"/>
      <c r="E467" s="36"/>
      <c r="F467" s="36"/>
      <c r="G467" s="34">
        <f t="shared" si="7"/>
        <v>0</v>
      </c>
      <c r="H467" s="36"/>
      <c r="I467" s="36"/>
      <c r="J467" s="36"/>
    </row>
    <row r="468" spans="1:10" ht="19.5" customHeight="1" x14ac:dyDescent="0.3">
      <c r="A468" s="38" t="s">
        <v>1194</v>
      </c>
      <c r="B468" s="32"/>
      <c r="C468" s="32"/>
      <c r="D468" s="32"/>
      <c r="E468" s="32"/>
      <c r="F468" s="32"/>
      <c r="G468" s="34">
        <f t="shared" si="7"/>
        <v>0</v>
      </c>
      <c r="H468" s="32"/>
      <c r="I468" s="32"/>
      <c r="J468" s="32"/>
    </row>
    <row r="469" spans="1:10" ht="19.5" customHeight="1" x14ac:dyDescent="0.3">
      <c r="A469" s="38" t="s">
        <v>1195</v>
      </c>
      <c r="B469" s="36"/>
      <c r="C469" s="36"/>
      <c r="D469" s="36"/>
      <c r="E469" s="36"/>
      <c r="F469" s="36"/>
      <c r="G469" s="34">
        <f t="shared" si="7"/>
        <v>0</v>
      </c>
      <c r="H469" s="36"/>
      <c r="I469" s="36"/>
      <c r="J469" s="36"/>
    </row>
    <row r="470" spans="1:10" ht="19.5" customHeight="1" x14ac:dyDescent="0.3">
      <c r="A470" s="38" t="s">
        <v>1196</v>
      </c>
      <c r="B470" s="32"/>
      <c r="C470" s="32"/>
      <c r="D470" s="32"/>
      <c r="E470" s="32"/>
      <c r="F470" s="32"/>
      <c r="G470" s="34">
        <f t="shared" si="7"/>
        <v>0</v>
      </c>
      <c r="H470" s="32"/>
      <c r="I470" s="32"/>
      <c r="J470" s="32"/>
    </row>
    <row r="471" spans="1:10" ht="19.5" customHeight="1" x14ac:dyDescent="0.3">
      <c r="A471" s="38" t="s">
        <v>1197</v>
      </c>
      <c r="B471" s="36"/>
      <c r="C471" s="36"/>
      <c r="D471" s="36"/>
      <c r="E471" s="36"/>
      <c r="F471" s="36"/>
      <c r="G471" s="34">
        <f t="shared" si="7"/>
        <v>0</v>
      </c>
      <c r="H471" s="36"/>
      <c r="I471" s="36"/>
      <c r="J471" s="36"/>
    </row>
    <row r="472" spans="1:10" ht="19.5" customHeight="1" x14ac:dyDescent="0.3">
      <c r="A472" s="38" t="s">
        <v>1198</v>
      </c>
      <c r="B472" s="32"/>
      <c r="C472" s="32"/>
      <c r="D472" s="32"/>
      <c r="E472" s="32"/>
      <c r="F472" s="32"/>
      <c r="G472" s="34">
        <f t="shared" si="7"/>
        <v>0</v>
      </c>
      <c r="H472" s="32"/>
      <c r="I472" s="32"/>
      <c r="J472" s="32"/>
    </row>
    <row r="473" spans="1:10" ht="19.5" customHeight="1" x14ac:dyDescent="0.3">
      <c r="A473" s="38" t="s">
        <v>1199</v>
      </c>
      <c r="B473" s="36"/>
      <c r="C473" s="36"/>
      <c r="D473" s="36"/>
      <c r="E473" s="36"/>
      <c r="F473" s="36"/>
      <c r="G473" s="34">
        <f t="shared" si="7"/>
        <v>0</v>
      </c>
      <c r="H473" s="36"/>
      <c r="I473" s="36"/>
      <c r="J473" s="36"/>
    </row>
    <row r="474" spans="1:10" ht="19.5" customHeight="1" x14ac:dyDescent="0.3">
      <c r="A474" s="38" t="s">
        <v>1200</v>
      </c>
      <c r="B474" s="32"/>
      <c r="C474" s="32"/>
      <c r="D474" s="32"/>
      <c r="E474" s="32"/>
      <c r="F474" s="32"/>
      <c r="G474" s="34">
        <f t="shared" si="7"/>
        <v>0</v>
      </c>
      <c r="H474" s="32"/>
      <c r="I474" s="32"/>
      <c r="J474" s="32"/>
    </row>
    <row r="475" spans="1:10" ht="19.5" customHeight="1" x14ac:dyDescent="0.3">
      <c r="A475" s="38" t="s">
        <v>1201</v>
      </c>
      <c r="B475" s="36"/>
      <c r="C475" s="36"/>
      <c r="D475" s="36"/>
      <c r="E475" s="36"/>
      <c r="F475" s="36"/>
      <c r="G475" s="34">
        <f t="shared" si="7"/>
        <v>0</v>
      </c>
      <c r="H475" s="36"/>
      <c r="I475" s="36"/>
      <c r="J475" s="36"/>
    </row>
    <row r="476" spans="1:10" ht="19.5" customHeight="1" x14ac:dyDescent="0.3">
      <c r="A476" s="38" t="s">
        <v>1202</v>
      </c>
      <c r="B476" s="32"/>
      <c r="C476" s="32"/>
      <c r="D476" s="32"/>
      <c r="E476" s="32"/>
      <c r="F476" s="32"/>
      <c r="G476" s="34">
        <f t="shared" si="7"/>
        <v>0</v>
      </c>
      <c r="H476" s="32"/>
      <c r="I476" s="32"/>
      <c r="J476" s="32"/>
    </row>
    <row r="477" spans="1:10" ht="19.5" customHeight="1" x14ac:dyDescent="0.3">
      <c r="A477" s="38" t="s">
        <v>1203</v>
      </c>
      <c r="B477" s="36"/>
      <c r="C477" s="36"/>
      <c r="D477" s="36"/>
      <c r="E477" s="36"/>
      <c r="F477" s="36"/>
      <c r="G477" s="34">
        <f t="shared" si="7"/>
        <v>0</v>
      </c>
      <c r="H477" s="36"/>
      <c r="I477" s="36"/>
      <c r="J477" s="36"/>
    </row>
    <row r="478" spans="1:10" ht="19.5" customHeight="1" x14ac:dyDescent="0.3">
      <c r="A478" s="38" t="s">
        <v>1204</v>
      </c>
      <c r="B478" s="32"/>
      <c r="C478" s="32"/>
      <c r="D478" s="32"/>
      <c r="E478" s="32"/>
      <c r="F478" s="32"/>
      <c r="G478" s="34">
        <f t="shared" si="7"/>
        <v>0</v>
      </c>
      <c r="H478" s="32"/>
      <c r="I478" s="32"/>
      <c r="J478" s="32"/>
    </row>
    <row r="479" spans="1:10" ht="19.5" customHeight="1" x14ac:dyDescent="0.3">
      <c r="A479" s="38" t="s">
        <v>1205</v>
      </c>
      <c r="B479" s="36"/>
      <c r="C479" s="36"/>
      <c r="D479" s="36"/>
      <c r="E479" s="36"/>
      <c r="F479" s="36"/>
      <c r="G479" s="34">
        <f t="shared" si="7"/>
        <v>0</v>
      </c>
      <c r="H479" s="36"/>
      <c r="I479" s="36"/>
      <c r="J479" s="36"/>
    </row>
    <row r="480" spans="1:10" ht="19.5" customHeight="1" x14ac:dyDescent="0.3">
      <c r="A480" s="38" t="s">
        <v>1206</v>
      </c>
      <c r="B480" s="32"/>
      <c r="C480" s="32"/>
      <c r="D480" s="32"/>
      <c r="E480" s="32"/>
      <c r="F480" s="32"/>
      <c r="G480" s="34">
        <f t="shared" si="7"/>
        <v>0</v>
      </c>
      <c r="H480" s="32"/>
      <c r="I480" s="32"/>
      <c r="J480" s="32"/>
    </row>
    <row r="481" spans="1:10" ht="19.5" customHeight="1" x14ac:dyDescent="0.3">
      <c r="A481" s="38" t="s">
        <v>1207</v>
      </c>
      <c r="B481" s="36"/>
      <c r="C481" s="36"/>
      <c r="D481" s="36"/>
      <c r="E481" s="36"/>
      <c r="F481" s="36"/>
      <c r="G481" s="34">
        <f t="shared" si="7"/>
        <v>0</v>
      </c>
      <c r="H481" s="36"/>
      <c r="I481" s="36"/>
      <c r="J481" s="36"/>
    </row>
    <row r="482" spans="1:10" ht="19.5" customHeight="1" x14ac:dyDescent="0.3">
      <c r="A482" s="38" t="s">
        <v>1208</v>
      </c>
      <c r="B482" s="32"/>
      <c r="C482" s="32"/>
      <c r="D482" s="32"/>
      <c r="E482" s="32"/>
      <c r="F482" s="32"/>
      <c r="G482" s="34">
        <f t="shared" si="7"/>
        <v>0</v>
      </c>
      <c r="H482" s="32"/>
      <c r="I482" s="32"/>
      <c r="J482" s="32"/>
    </row>
    <row r="483" spans="1:10" ht="19.5" customHeight="1" x14ac:dyDescent="0.3">
      <c r="A483" s="38" t="s">
        <v>1209</v>
      </c>
      <c r="B483" s="36"/>
      <c r="C483" s="36"/>
      <c r="D483" s="36"/>
      <c r="E483" s="36"/>
      <c r="F483" s="36"/>
      <c r="G483" s="34">
        <f t="shared" si="7"/>
        <v>0</v>
      </c>
      <c r="H483" s="36"/>
      <c r="I483" s="36"/>
      <c r="J483" s="36"/>
    </row>
    <row r="484" spans="1:10" ht="19.5" customHeight="1" x14ac:dyDescent="0.3">
      <c r="A484" s="38" t="s">
        <v>1210</v>
      </c>
      <c r="B484" s="32"/>
      <c r="C484" s="32"/>
      <c r="D484" s="32"/>
      <c r="E484" s="32"/>
      <c r="F484" s="32"/>
      <c r="G484" s="34">
        <f t="shared" si="7"/>
        <v>0</v>
      </c>
      <c r="H484" s="32"/>
      <c r="I484" s="32"/>
      <c r="J484" s="32"/>
    </row>
    <row r="485" spans="1:10" ht="19.5" customHeight="1" x14ac:dyDescent="0.3">
      <c r="A485" s="38" t="s">
        <v>1211</v>
      </c>
      <c r="B485" s="36"/>
      <c r="C485" s="36"/>
      <c r="D485" s="36"/>
      <c r="E485" s="36"/>
      <c r="F485" s="36"/>
      <c r="G485" s="34">
        <f t="shared" si="7"/>
        <v>0</v>
      </c>
      <c r="H485" s="36"/>
      <c r="I485" s="36"/>
      <c r="J485" s="36"/>
    </row>
    <row r="486" spans="1:10" ht="19.5" customHeight="1" x14ac:dyDescent="0.3">
      <c r="A486" s="38" t="s">
        <v>1212</v>
      </c>
      <c r="B486" s="32"/>
      <c r="C486" s="32"/>
      <c r="D486" s="32"/>
      <c r="E486" s="32"/>
      <c r="F486" s="32"/>
      <c r="G486" s="34">
        <f t="shared" si="7"/>
        <v>0</v>
      </c>
      <c r="H486" s="32"/>
      <c r="I486" s="32"/>
      <c r="J486" s="32"/>
    </row>
    <row r="487" spans="1:10" ht="19.5" customHeight="1" x14ac:dyDescent="0.3">
      <c r="A487" s="38" t="s">
        <v>1213</v>
      </c>
      <c r="B487" s="36"/>
      <c r="C487" s="36"/>
      <c r="D487" s="36"/>
      <c r="E487" s="36"/>
      <c r="F487" s="36"/>
      <c r="G487" s="34">
        <f t="shared" si="7"/>
        <v>0</v>
      </c>
      <c r="H487" s="36"/>
      <c r="I487" s="36"/>
      <c r="J487" s="36"/>
    </row>
    <row r="488" spans="1:10" ht="19.5" customHeight="1" x14ac:dyDescent="0.3">
      <c r="A488" s="38" t="s">
        <v>1214</v>
      </c>
      <c r="B488" s="32"/>
      <c r="C488" s="32"/>
      <c r="D488" s="32"/>
      <c r="E488" s="32"/>
      <c r="F488" s="32"/>
      <c r="G488" s="34">
        <f t="shared" si="7"/>
        <v>0</v>
      </c>
      <c r="H488" s="32"/>
      <c r="I488" s="32"/>
      <c r="J488" s="32"/>
    </row>
    <row r="489" spans="1:10" ht="19.5" customHeight="1" x14ac:dyDescent="0.3">
      <c r="A489" s="38" t="s">
        <v>1215</v>
      </c>
      <c r="B489" s="36"/>
      <c r="C489" s="36"/>
      <c r="D489" s="36"/>
      <c r="E489" s="36"/>
      <c r="F489" s="36"/>
      <c r="G489" s="34">
        <f t="shared" si="7"/>
        <v>0</v>
      </c>
      <c r="H489" s="36"/>
      <c r="I489" s="36"/>
      <c r="J489" s="36"/>
    </row>
    <row r="490" spans="1:10" ht="19.5" customHeight="1" x14ac:dyDescent="0.3">
      <c r="A490" s="38" t="s">
        <v>1216</v>
      </c>
      <c r="B490" s="32"/>
      <c r="C490" s="32"/>
      <c r="D490" s="32"/>
      <c r="E490" s="32"/>
      <c r="F490" s="32"/>
      <c r="G490" s="34">
        <f t="shared" si="7"/>
        <v>0</v>
      </c>
      <c r="H490" s="32"/>
      <c r="I490" s="32"/>
      <c r="J490" s="32"/>
    </row>
    <row r="491" spans="1:10" ht="19.5" customHeight="1" x14ac:dyDescent="0.3">
      <c r="A491" s="38" t="s">
        <v>1217</v>
      </c>
      <c r="B491" s="36"/>
      <c r="C491" s="36"/>
      <c r="D491" s="36"/>
      <c r="E491" s="36"/>
      <c r="F491" s="36"/>
      <c r="G491" s="34">
        <f t="shared" si="7"/>
        <v>0</v>
      </c>
      <c r="H491" s="36"/>
      <c r="I491" s="36"/>
      <c r="J491" s="36"/>
    </row>
    <row r="492" spans="1:10" ht="19.5" customHeight="1" x14ac:dyDescent="0.3">
      <c r="A492" s="38" t="s">
        <v>1218</v>
      </c>
      <c r="B492" s="32"/>
      <c r="C492" s="32"/>
      <c r="D492" s="32"/>
      <c r="E492" s="32"/>
      <c r="F492" s="32"/>
      <c r="G492" s="34">
        <f t="shared" si="7"/>
        <v>0</v>
      </c>
      <c r="H492" s="32"/>
      <c r="I492" s="32"/>
      <c r="J492" s="32"/>
    </row>
    <row r="493" spans="1:10" ht="19.5" customHeight="1" x14ac:dyDescent="0.3">
      <c r="A493" s="38" t="s">
        <v>1219</v>
      </c>
      <c r="B493" s="36"/>
      <c r="C493" s="36"/>
      <c r="D493" s="36"/>
      <c r="E493" s="36"/>
      <c r="F493" s="36"/>
      <c r="G493" s="34">
        <f t="shared" si="7"/>
        <v>0</v>
      </c>
      <c r="H493" s="36"/>
      <c r="I493" s="36"/>
      <c r="J493" s="36"/>
    </row>
    <row r="494" spans="1:10" ht="19.5" customHeight="1" x14ac:dyDescent="0.3">
      <c r="A494" s="38" t="s">
        <v>1220</v>
      </c>
      <c r="B494" s="32"/>
      <c r="C494" s="32"/>
      <c r="D494" s="32"/>
      <c r="E494" s="32"/>
      <c r="F494" s="32"/>
      <c r="G494" s="34">
        <f t="shared" si="7"/>
        <v>0</v>
      </c>
      <c r="H494" s="32"/>
      <c r="I494" s="32"/>
      <c r="J494" s="32"/>
    </row>
    <row r="495" spans="1:10" ht="19.5" customHeight="1" x14ac:dyDescent="0.3">
      <c r="A495" s="38" t="s">
        <v>1221</v>
      </c>
      <c r="B495" s="36"/>
      <c r="C495" s="36"/>
      <c r="D495" s="36"/>
      <c r="E495" s="36"/>
      <c r="F495" s="36"/>
      <c r="G495" s="34">
        <f t="shared" si="7"/>
        <v>0</v>
      </c>
      <c r="H495" s="36"/>
      <c r="I495" s="36"/>
      <c r="J495" s="36"/>
    </row>
    <row r="496" spans="1:10" ht="19.5" customHeight="1" x14ac:dyDescent="0.3">
      <c r="A496" s="38" t="s">
        <v>1222</v>
      </c>
      <c r="B496" s="32"/>
      <c r="C496" s="32"/>
      <c r="D496" s="32"/>
      <c r="E496" s="32"/>
      <c r="F496" s="32"/>
      <c r="G496" s="34">
        <f t="shared" si="7"/>
        <v>0</v>
      </c>
      <c r="H496" s="32"/>
      <c r="I496" s="32"/>
      <c r="J496" s="32"/>
    </row>
    <row r="497" spans="1:10" ht="19.5" customHeight="1" x14ac:dyDescent="0.3">
      <c r="A497" s="38" t="s">
        <v>1223</v>
      </c>
      <c r="B497" s="36"/>
      <c r="C497" s="36"/>
      <c r="D497" s="36"/>
      <c r="E497" s="36"/>
      <c r="F497" s="36"/>
      <c r="G497" s="34">
        <f t="shared" si="7"/>
        <v>0</v>
      </c>
      <c r="H497" s="36"/>
      <c r="I497" s="36"/>
      <c r="J497" s="36"/>
    </row>
    <row r="498" spans="1:10" ht="19.5" customHeight="1" x14ac:dyDescent="0.3">
      <c r="A498" s="38" t="s">
        <v>1224</v>
      </c>
      <c r="B498" s="32"/>
      <c r="C498" s="32"/>
      <c r="D498" s="32"/>
      <c r="E498" s="32"/>
      <c r="F498" s="32"/>
      <c r="G498" s="34">
        <f t="shared" si="7"/>
        <v>0</v>
      </c>
      <c r="H498" s="32"/>
      <c r="I498" s="32"/>
      <c r="J498" s="32"/>
    </row>
    <row r="499" spans="1:10" ht="19.5" customHeight="1" x14ac:dyDescent="0.3">
      <c r="A499" s="38" t="s">
        <v>1225</v>
      </c>
      <c r="B499" s="36"/>
      <c r="C499" s="36"/>
      <c r="D499" s="36"/>
      <c r="E499" s="36"/>
      <c r="F499" s="36"/>
      <c r="G499" s="34">
        <f t="shared" si="7"/>
        <v>0</v>
      </c>
      <c r="H499" s="36"/>
      <c r="I499" s="36"/>
      <c r="J499" s="36"/>
    </row>
    <row r="500" spans="1:10" ht="19.5" customHeight="1" x14ac:dyDescent="0.3">
      <c r="A500" s="38" t="s">
        <v>1226</v>
      </c>
      <c r="B500" s="32"/>
      <c r="C500" s="32"/>
      <c r="D500" s="32"/>
      <c r="E500" s="32"/>
      <c r="F500" s="32"/>
      <c r="G500" s="34">
        <f t="shared" si="7"/>
        <v>0</v>
      </c>
      <c r="H500" s="32"/>
      <c r="I500" s="32"/>
      <c r="J500" s="32"/>
    </row>
    <row r="501" spans="1:10" ht="19.5" customHeight="1" x14ac:dyDescent="0.3">
      <c r="A501" s="38" t="s">
        <v>1227</v>
      </c>
      <c r="B501" s="36"/>
      <c r="C501" s="36"/>
      <c r="D501" s="36"/>
      <c r="E501" s="36"/>
      <c r="F501" s="36"/>
      <c r="G501" s="34">
        <f t="shared" si="7"/>
        <v>0</v>
      </c>
      <c r="H501" s="36"/>
      <c r="I501" s="36"/>
      <c r="J501" s="36"/>
    </row>
    <row r="502" spans="1:10" ht="19.5" customHeight="1" x14ac:dyDescent="0.3">
      <c r="A502" s="38" t="s">
        <v>1228</v>
      </c>
      <c r="B502" s="32"/>
      <c r="C502" s="32"/>
      <c r="D502" s="32"/>
      <c r="E502" s="32"/>
      <c r="F502" s="32"/>
      <c r="G502" s="34">
        <f t="shared" si="7"/>
        <v>0</v>
      </c>
      <c r="H502" s="32"/>
      <c r="I502" s="32"/>
      <c r="J502" s="32"/>
    </row>
    <row r="503" spans="1:10" ht="19.5" customHeight="1" x14ac:dyDescent="0.3">
      <c r="A503" s="38" t="s">
        <v>1229</v>
      </c>
      <c r="B503" s="36"/>
      <c r="C503" s="36"/>
      <c r="D503" s="36"/>
      <c r="E503" s="36"/>
      <c r="F503" s="36"/>
      <c r="G503" s="34">
        <f t="shared" si="7"/>
        <v>0</v>
      </c>
      <c r="H503" s="36"/>
      <c r="I503" s="36"/>
      <c r="J503" s="36"/>
    </row>
  </sheetData>
  <mergeCells count="3">
    <mergeCell ref="A1:J1"/>
    <mergeCell ref="A2:C2"/>
    <mergeCell ref="E2:J2"/>
  </mergeCells>
  <conditionalFormatting sqref="G4:G503">
    <cfRule type="cellIs" dxfId="2" priority="2" operator="lessThan">
      <formula>0</formula>
    </cfRule>
  </conditionalFormatting>
  <dataValidations count="1">
    <dataValidation type="list" sqref="C4:C503" xr:uid="{00000000-0002-0000-0700-000000000000}">
      <formula1>"Entrée,Sortie,Transfert"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249977111117893"/>
  </sheetPr>
  <dimension ref="A1:I5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0" sqref="I20"/>
    </sheetView>
  </sheetViews>
  <sheetFormatPr baseColWidth="10" defaultColWidth="8.6640625" defaultRowHeight="14.4" x14ac:dyDescent="0.3"/>
  <cols>
    <col min="1" max="1" width="5" customWidth="1"/>
    <col min="2" max="2" width="14" customWidth="1"/>
    <col min="3" max="3" width="18" customWidth="1"/>
    <col min="4" max="4" width="20" customWidth="1"/>
    <col min="5" max="5" width="16" customWidth="1"/>
    <col min="6" max="6" width="14" customWidth="1"/>
    <col min="7" max="7" width="15" customWidth="1"/>
    <col min="8" max="8" width="14" customWidth="1"/>
    <col min="9" max="9" width="16" customWidth="1"/>
  </cols>
  <sheetData>
    <row r="1" spans="1:9" ht="31.5" customHeight="1" x14ac:dyDescent="0.3">
      <c r="A1" s="101" t="s">
        <v>1230</v>
      </c>
      <c r="B1" s="101"/>
      <c r="C1" s="101"/>
      <c r="D1" s="101"/>
      <c r="E1" s="101"/>
      <c r="F1" s="101"/>
      <c r="G1" s="101"/>
      <c r="H1" s="101"/>
      <c r="I1" s="101"/>
    </row>
    <row r="2" spans="1:9" x14ac:dyDescent="0.3">
      <c r="A2" s="122" t="s">
        <v>1231</v>
      </c>
      <c r="B2" s="122"/>
      <c r="C2" s="122"/>
      <c r="D2" s="122"/>
      <c r="E2" s="122"/>
      <c r="F2" s="122"/>
      <c r="G2" s="122"/>
      <c r="H2" s="122"/>
      <c r="I2" s="122"/>
    </row>
    <row r="3" spans="1:9" ht="36" customHeight="1" x14ac:dyDescent="0.3">
      <c r="A3" s="1" t="s">
        <v>1232</v>
      </c>
      <c r="B3" s="1" t="s">
        <v>42</v>
      </c>
      <c r="C3" s="1" t="s">
        <v>43</v>
      </c>
      <c r="D3" s="1" t="s">
        <v>44</v>
      </c>
      <c r="E3" s="1" t="s">
        <v>1233</v>
      </c>
      <c r="F3" s="1" t="s">
        <v>1234</v>
      </c>
      <c r="G3" s="1" t="s">
        <v>1235</v>
      </c>
      <c r="H3" s="1" t="s">
        <v>1236</v>
      </c>
      <c r="I3" s="1" t="s">
        <v>51</v>
      </c>
    </row>
    <row r="4" spans="1:9" ht="21.75" customHeight="1" x14ac:dyDescent="0.3">
      <c r="A4" s="42">
        <v>1</v>
      </c>
      <c r="B4" s="17" t="str">
        <f>'👥 MEMBRES'!A5</f>
        <v>TSP-2027-001</v>
      </c>
      <c r="C4" s="18">
        <f>'👥 MEMBRES'!B5</f>
        <v>0</v>
      </c>
      <c r="D4" s="18">
        <f>'👥 MEMBRES'!C5</f>
        <v>0</v>
      </c>
      <c r="E4" s="21">
        <f>IFERROR('💰 COTISATIONS'!BE4,0)</f>
        <v>0</v>
      </c>
      <c r="F4" s="24">
        <f>SUMIF('⚠️ PÉNALITÉS'!B:B,B4,'⚠️ PÉNALITÉS'!I:I)</f>
        <v>0</v>
      </c>
      <c r="G4" s="23">
        <f>SUMIF('🏦 PRÊTS'!B:B,B4,'🏦 PRÊTS'!Q:Q)</f>
        <v>0</v>
      </c>
      <c r="H4" s="34">
        <f t="shared" ref="H4:H35" si="0">E4-F4-G4</f>
        <v>0</v>
      </c>
      <c r="I4" s="25" t="str">
        <f t="shared" ref="I4:I35" si="1">IF(G4&gt;0,"🔴 Prêt en cours",IF(F4&gt;0,"⚠️ Pén. dues","✅ À jour"))</f>
        <v>✅ À jour</v>
      </c>
    </row>
    <row r="5" spans="1:9" ht="21.75" customHeight="1" x14ac:dyDescent="0.3">
      <c r="A5" s="43">
        <v>2</v>
      </c>
      <c r="B5" s="17" t="str">
        <f>'👥 MEMBRES'!A6</f>
        <v>TSP-2027-002</v>
      </c>
      <c r="C5" s="26">
        <f>'👥 MEMBRES'!B6</f>
        <v>0</v>
      </c>
      <c r="D5" s="26">
        <f>'👥 MEMBRES'!C6</f>
        <v>0</v>
      </c>
      <c r="E5" s="21">
        <f>IFERROR('💰 COTISATIONS'!BE5,0)</f>
        <v>0</v>
      </c>
      <c r="F5" s="24">
        <f>SUMIF('⚠️ PÉNALITÉS'!B:B,B5,'⚠️ PÉNALITÉS'!I:I)</f>
        <v>0</v>
      </c>
      <c r="G5" s="23">
        <f>SUMIF('🏦 PRÊTS'!B:B,B5,'🏦 PRÊTS'!Q:Q)</f>
        <v>0</v>
      </c>
      <c r="H5" s="34">
        <f t="shared" si="0"/>
        <v>0</v>
      </c>
      <c r="I5" s="28" t="str">
        <f t="shared" si="1"/>
        <v>✅ À jour</v>
      </c>
    </row>
    <row r="6" spans="1:9" ht="21.75" customHeight="1" x14ac:dyDescent="0.3">
      <c r="A6" s="42">
        <v>3</v>
      </c>
      <c r="B6" s="17" t="str">
        <f>'👥 MEMBRES'!A7</f>
        <v>TSP-2027-003</v>
      </c>
      <c r="C6" s="18">
        <f>'👥 MEMBRES'!B7</f>
        <v>0</v>
      </c>
      <c r="D6" s="18">
        <f>'👥 MEMBRES'!C7</f>
        <v>0</v>
      </c>
      <c r="E6" s="21">
        <f>IFERROR('💰 COTISATIONS'!BE6,0)</f>
        <v>0</v>
      </c>
      <c r="F6" s="24">
        <f>SUMIF('⚠️ PÉNALITÉS'!B:B,B6,'⚠️ PÉNALITÉS'!I:I)</f>
        <v>0</v>
      </c>
      <c r="G6" s="23">
        <f>SUMIF('🏦 PRÊTS'!B:B,B6,'🏦 PRÊTS'!Q:Q)</f>
        <v>0</v>
      </c>
      <c r="H6" s="34">
        <f t="shared" si="0"/>
        <v>0</v>
      </c>
      <c r="I6" s="25" t="str">
        <f t="shared" si="1"/>
        <v>✅ À jour</v>
      </c>
    </row>
    <row r="7" spans="1:9" ht="21.75" customHeight="1" x14ac:dyDescent="0.3">
      <c r="A7" s="43">
        <v>4</v>
      </c>
      <c r="B7" s="17" t="str">
        <f>'👥 MEMBRES'!A8</f>
        <v>TSP-2027-004</v>
      </c>
      <c r="C7" s="26">
        <f>'👥 MEMBRES'!B8</f>
        <v>0</v>
      </c>
      <c r="D7" s="26">
        <f>'👥 MEMBRES'!C8</f>
        <v>0</v>
      </c>
      <c r="E7" s="21">
        <f>IFERROR('💰 COTISATIONS'!BE7,0)</f>
        <v>0</v>
      </c>
      <c r="F7" s="24">
        <f>SUMIF('⚠️ PÉNALITÉS'!B:B,B7,'⚠️ PÉNALITÉS'!I:I)</f>
        <v>0</v>
      </c>
      <c r="G7" s="23">
        <f>SUMIF('🏦 PRÊTS'!B:B,B7,'🏦 PRÊTS'!Q:Q)</f>
        <v>0</v>
      </c>
      <c r="H7" s="34">
        <f t="shared" si="0"/>
        <v>0</v>
      </c>
      <c r="I7" s="28" t="str">
        <f t="shared" si="1"/>
        <v>✅ À jour</v>
      </c>
    </row>
    <row r="8" spans="1:9" ht="21.75" customHeight="1" x14ac:dyDescent="0.3">
      <c r="A8" s="42">
        <v>5</v>
      </c>
      <c r="B8" s="17" t="str">
        <f>'👥 MEMBRES'!A9</f>
        <v>TSP-2027-005</v>
      </c>
      <c r="C8" s="18">
        <f>'👥 MEMBRES'!B9</f>
        <v>0</v>
      </c>
      <c r="D8" s="18">
        <f>'👥 MEMBRES'!C9</f>
        <v>0</v>
      </c>
      <c r="E8" s="21">
        <f>IFERROR('💰 COTISATIONS'!BE8,0)</f>
        <v>0</v>
      </c>
      <c r="F8" s="24">
        <f>SUMIF('⚠️ PÉNALITÉS'!B:B,B8,'⚠️ PÉNALITÉS'!I:I)</f>
        <v>0</v>
      </c>
      <c r="G8" s="23">
        <f>SUMIF('🏦 PRÊTS'!B:B,B8,'🏦 PRÊTS'!Q:Q)</f>
        <v>0</v>
      </c>
      <c r="H8" s="34">
        <f t="shared" si="0"/>
        <v>0</v>
      </c>
      <c r="I8" s="25" t="str">
        <f t="shared" si="1"/>
        <v>✅ À jour</v>
      </c>
    </row>
    <row r="9" spans="1:9" ht="21.75" customHeight="1" x14ac:dyDescent="0.3">
      <c r="A9" s="43">
        <v>6</v>
      </c>
      <c r="B9" s="17" t="str">
        <f>'👥 MEMBRES'!A10</f>
        <v>TSP-2027-006</v>
      </c>
      <c r="C9" s="26">
        <f>'👥 MEMBRES'!B10</f>
        <v>0</v>
      </c>
      <c r="D9" s="26">
        <f>'👥 MEMBRES'!C10</f>
        <v>0</v>
      </c>
      <c r="E9" s="21">
        <f>IFERROR('💰 COTISATIONS'!BE9,0)</f>
        <v>0</v>
      </c>
      <c r="F9" s="24">
        <f>SUMIF('⚠️ PÉNALITÉS'!B:B,B9,'⚠️ PÉNALITÉS'!I:I)</f>
        <v>0</v>
      </c>
      <c r="G9" s="23">
        <f>SUMIF('🏦 PRÊTS'!B:B,B9,'🏦 PRÊTS'!Q:Q)</f>
        <v>0</v>
      </c>
      <c r="H9" s="34">
        <f t="shared" si="0"/>
        <v>0</v>
      </c>
      <c r="I9" s="28" t="str">
        <f t="shared" si="1"/>
        <v>✅ À jour</v>
      </c>
    </row>
    <row r="10" spans="1:9" ht="21.75" customHeight="1" x14ac:dyDescent="0.3">
      <c r="A10" s="42">
        <v>7</v>
      </c>
      <c r="B10" s="17" t="str">
        <f>'👥 MEMBRES'!A11</f>
        <v>TSP-2027-007</v>
      </c>
      <c r="C10" s="18">
        <f>'👥 MEMBRES'!B11</f>
        <v>0</v>
      </c>
      <c r="D10" s="18">
        <f>'👥 MEMBRES'!C11</f>
        <v>0</v>
      </c>
      <c r="E10" s="21">
        <f>IFERROR('💰 COTISATIONS'!BE10,0)</f>
        <v>0</v>
      </c>
      <c r="F10" s="24">
        <f>SUMIF('⚠️ PÉNALITÉS'!B:B,B10,'⚠️ PÉNALITÉS'!I:I)</f>
        <v>0</v>
      </c>
      <c r="G10" s="23">
        <f>SUMIF('🏦 PRÊTS'!B:B,B10,'🏦 PRÊTS'!Q:Q)</f>
        <v>0</v>
      </c>
      <c r="H10" s="34">
        <f t="shared" si="0"/>
        <v>0</v>
      </c>
      <c r="I10" s="25" t="str">
        <f t="shared" si="1"/>
        <v>✅ À jour</v>
      </c>
    </row>
    <row r="11" spans="1:9" ht="21.75" customHeight="1" x14ac:dyDescent="0.3">
      <c r="A11" s="43">
        <v>8</v>
      </c>
      <c r="B11" s="17" t="str">
        <f>'👥 MEMBRES'!A12</f>
        <v>TSP-2027-008</v>
      </c>
      <c r="C11" s="26">
        <f>'👥 MEMBRES'!B12</f>
        <v>0</v>
      </c>
      <c r="D11" s="26">
        <f>'👥 MEMBRES'!C12</f>
        <v>0</v>
      </c>
      <c r="E11" s="21">
        <f>IFERROR('💰 COTISATIONS'!BE11,0)</f>
        <v>0</v>
      </c>
      <c r="F11" s="24">
        <f>SUMIF('⚠️ PÉNALITÉS'!B:B,B11,'⚠️ PÉNALITÉS'!I:I)</f>
        <v>0</v>
      </c>
      <c r="G11" s="23">
        <f>SUMIF('🏦 PRÊTS'!B:B,B11,'🏦 PRÊTS'!Q:Q)</f>
        <v>0</v>
      </c>
      <c r="H11" s="34">
        <f t="shared" si="0"/>
        <v>0</v>
      </c>
      <c r="I11" s="28" t="str">
        <f t="shared" si="1"/>
        <v>✅ À jour</v>
      </c>
    </row>
    <row r="12" spans="1:9" ht="21.75" customHeight="1" x14ac:dyDescent="0.3">
      <c r="A12" s="42">
        <v>9</v>
      </c>
      <c r="B12" s="17" t="str">
        <f>'👥 MEMBRES'!A13</f>
        <v>TSP-2027-009</v>
      </c>
      <c r="C12" s="18">
        <f>'👥 MEMBRES'!B13</f>
        <v>0</v>
      </c>
      <c r="D12" s="18">
        <f>'👥 MEMBRES'!C13</f>
        <v>0</v>
      </c>
      <c r="E12" s="21">
        <f>IFERROR('💰 COTISATIONS'!BE12,0)</f>
        <v>0</v>
      </c>
      <c r="F12" s="24">
        <f>SUMIF('⚠️ PÉNALITÉS'!B:B,B12,'⚠️ PÉNALITÉS'!I:I)</f>
        <v>0</v>
      </c>
      <c r="G12" s="23">
        <f>SUMIF('🏦 PRÊTS'!B:B,B12,'🏦 PRÊTS'!Q:Q)</f>
        <v>0</v>
      </c>
      <c r="H12" s="34">
        <f t="shared" si="0"/>
        <v>0</v>
      </c>
      <c r="I12" s="25" t="str">
        <f t="shared" si="1"/>
        <v>✅ À jour</v>
      </c>
    </row>
    <row r="13" spans="1:9" ht="21.75" customHeight="1" x14ac:dyDescent="0.3">
      <c r="A13" s="43">
        <v>10</v>
      </c>
      <c r="B13" s="17" t="str">
        <f>'👥 MEMBRES'!A14</f>
        <v>TSP-2027-010</v>
      </c>
      <c r="C13" s="26">
        <f>'👥 MEMBRES'!B14</f>
        <v>0</v>
      </c>
      <c r="D13" s="26">
        <f>'👥 MEMBRES'!C14</f>
        <v>0</v>
      </c>
      <c r="E13" s="21">
        <f>IFERROR('💰 COTISATIONS'!BE13,0)</f>
        <v>0</v>
      </c>
      <c r="F13" s="24">
        <f>SUMIF('⚠️ PÉNALITÉS'!B:B,B13,'⚠️ PÉNALITÉS'!I:I)</f>
        <v>0</v>
      </c>
      <c r="G13" s="23">
        <f>SUMIF('🏦 PRÊTS'!B:B,B13,'🏦 PRÊTS'!Q:Q)</f>
        <v>0</v>
      </c>
      <c r="H13" s="34">
        <f t="shared" si="0"/>
        <v>0</v>
      </c>
      <c r="I13" s="28" t="str">
        <f t="shared" si="1"/>
        <v>✅ À jour</v>
      </c>
    </row>
    <row r="14" spans="1:9" ht="21.75" customHeight="1" x14ac:dyDescent="0.3">
      <c r="A14" s="42">
        <v>11</v>
      </c>
      <c r="B14" s="17" t="str">
        <f>'👥 MEMBRES'!A15</f>
        <v>TSP-2027-011</v>
      </c>
      <c r="C14" s="18">
        <f>'👥 MEMBRES'!B15</f>
        <v>0</v>
      </c>
      <c r="D14" s="18">
        <f>'👥 MEMBRES'!C15</f>
        <v>0</v>
      </c>
      <c r="E14" s="21">
        <f>IFERROR('💰 COTISATIONS'!BE14,0)</f>
        <v>0</v>
      </c>
      <c r="F14" s="24">
        <f>SUMIF('⚠️ PÉNALITÉS'!B:B,B14,'⚠️ PÉNALITÉS'!I:I)</f>
        <v>0</v>
      </c>
      <c r="G14" s="23">
        <f>SUMIF('🏦 PRÊTS'!B:B,B14,'🏦 PRÊTS'!Q:Q)</f>
        <v>0</v>
      </c>
      <c r="H14" s="34">
        <f t="shared" si="0"/>
        <v>0</v>
      </c>
      <c r="I14" s="25" t="str">
        <f t="shared" si="1"/>
        <v>✅ À jour</v>
      </c>
    </row>
    <row r="15" spans="1:9" ht="21.75" customHeight="1" x14ac:dyDescent="0.3">
      <c r="A15" s="43">
        <v>12</v>
      </c>
      <c r="B15" s="17" t="str">
        <f>'👥 MEMBRES'!A16</f>
        <v>TSP-2027-012</v>
      </c>
      <c r="C15" s="26">
        <f>'👥 MEMBRES'!B16</f>
        <v>0</v>
      </c>
      <c r="D15" s="26">
        <f>'👥 MEMBRES'!C16</f>
        <v>0</v>
      </c>
      <c r="E15" s="21">
        <f>IFERROR('💰 COTISATIONS'!BE15,0)</f>
        <v>0</v>
      </c>
      <c r="F15" s="24">
        <f>SUMIF('⚠️ PÉNALITÉS'!B:B,B15,'⚠️ PÉNALITÉS'!I:I)</f>
        <v>0</v>
      </c>
      <c r="G15" s="23">
        <f>SUMIF('🏦 PRÊTS'!B:B,B15,'🏦 PRÊTS'!Q:Q)</f>
        <v>0</v>
      </c>
      <c r="H15" s="34">
        <f t="shared" si="0"/>
        <v>0</v>
      </c>
      <c r="I15" s="28" t="str">
        <f t="shared" si="1"/>
        <v>✅ À jour</v>
      </c>
    </row>
    <row r="16" spans="1:9" ht="21.75" customHeight="1" x14ac:dyDescent="0.3">
      <c r="A16" s="42">
        <v>13</v>
      </c>
      <c r="B16" s="17" t="str">
        <f>'👥 MEMBRES'!A17</f>
        <v>TSP-2027-013</v>
      </c>
      <c r="C16" s="18">
        <f>'👥 MEMBRES'!B17</f>
        <v>0</v>
      </c>
      <c r="D16" s="18">
        <f>'👥 MEMBRES'!C17</f>
        <v>0</v>
      </c>
      <c r="E16" s="21">
        <f>IFERROR('💰 COTISATIONS'!BE16,0)</f>
        <v>0</v>
      </c>
      <c r="F16" s="24">
        <f>SUMIF('⚠️ PÉNALITÉS'!B:B,B16,'⚠️ PÉNALITÉS'!I:I)</f>
        <v>0</v>
      </c>
      <c r="G16" s="23">
        <f>SUMIF('🏦 PRÊTS'!B:B,B16,'🏦 PRÊTS'!Q:Q)</f>
        <v>0</v>
      </c>
      <c r="H16" s="34">
        <f t="shared" si="0"/>
        <v>0</v>
      </c>
      <c r="I16" s="25" t="str">
        <f t="shared" si="1"/>
        <v>✅ À jour</v>
      </c>
    </row>
    <row r="17" spans="1:9" ht="21.75" customHeight="1" x14ac:dyDescent="0.3">
      <c r="A17" s="43">
        <v>14</v>
      </c>
      <c r="B17" s="17" t="str">
        <f>'👥 MEMBRES'!A18</f>
        <v>TSP-2027-014</v>
      </c>
      <c r="C17" s="26">
        <f>'👥 MEMBRES'!B18</f>
        <v>0</v>
      </c>
      <c r="D17" s="26">
        <f>'👥 MEMBRES'!C18</f>
        <v>0</v>
      </c>
      <c r="E17" s="21">
        <f>IFERROR('💰 COTISATIONS'!BE17,0)</f>
        <v>0</v>
      </c>
      <c r="F17" s="24">
        <f>SUMIF('⚠️ PÉNALITÉS'!B:B,B17,'⚠️ PÉNALITÉS'!I:I)</f>
        <v>0</v>
      </c>
      <c r="G17" s="23">
        <f>SUMIF('🏦 PRÊTS'!B:B,B17,'🏦 PRÊTS'!Q:Q)</f>
        <v>0</v>
      </c>
      <c r="H17" s="34">
        <f t="shared" si="0"/>
        <v>0</v>
      </c>
      <c r="I17" s="28" t="str">
        <f t="shared" si="1"/>
        <v>✅ À jour</v>
      </c>
    </row>
    <row r="18" spans="1:9" ht="21.75" customHeight="1" x14ac:dyDescent="0.3">
      <c r="A18" s="42">
        <v>15</v>
      </c>
      <c r="B18" s="17" t="str">
        <f>'👥 MEMBRES'!A19</f>
        <v>TSP-2027-015</v>
      </c>
      <c r="C18" s="18">
        <f>'👥 MEMBRES'!B19</f>
        <v>0</v>
      </c>
      <c r="D18" s="18">
        <f>'👥 MEMBRES'!C19</f>
        <v>0</v>
      </c>
      <c r="E18" s="21">
        <f>IFERROR('💰 COTISATIONS'!BE18,0)</f>
        <v>0</v>
      </c>
      <c r="F18" s="24">
        <f>SUMIF('⚠️ PÉNALITÉS'!B:B,B18,'⚠️ PÉNALITÉS'!I:I)</f>
        <v>0</v>
      </c>
      <c r="G18" s="23">
        <f>SUMIF('🏦 PRÊTS'!B:B,B18,'🏦 PRÊTS'!Q:Q)</f>
        <v>0</v>
      </c>
      <c r="H18" s="34">
        <f t="shared" si="0"/>
        <v>0</v>
      </c>
      <c r="I18" s="25" t="str">
        <f t="shared" si="1"/>
        <v>✅ À jour</v>
      </c>
    </row>
    <row r="19" spans="1:9" ht="21.75" customHeight="1" x14ac:dyDescent="0.3">
      <c r="A19" s="43">
        <v>16</v>
      </c>
      <c r="B19" s="17" t="str">
        <f>'👥 MEMBRES'!A20</f>
        <v>TSP-2027-016</v>
      </c>
      <c r="C19" s="26">
        <f>'👥 MEMBRES'!B20</f>
        <v>0</v>
      </c>
      <c r="D19" s="26">
        <f>'👥 MEMBRES'!C20</f>
        <v>0</v>
      </c>
      <c r="E19" s="21">
        <f>IFERROR('💰 COTISATIONS'!BE19,0)</f>
        <v>0</v>
      </c>
      <c r="F19" s="24">
        <f>SUMIF('⚠️ PÉNALITÉS'!B:B,B19,'⚠️ PÉNALITÉS'!I:I)</f>
        <v>0</v>
      </c>
      <c r="G19" s="23">
        <f>SUMIF('🏦 PRÊTS'!B:B,B19,'🏦 PRÊTS'!Q:Q)</f>
        <v>0</v>
      </c>
      <c r="H19" s="34">
        <f t="shared" si="0"/>
        <v>0</v>
      </c>
      <c r="I19" s="28" t="str">
        <f t="shared" si="1"/>
        <v>✅ À jour</v>
      </c>
    </row>
    <row r="20" spans="1:9" ht="21.75" customHeight="1" x14ac:dyDescent="0.3">
      <c r="A20" s="42">
        <v>17</v>
      </c>
      <c r="B20" s="17" t="str">
        <f>'👥 MEMBRES'!A21</f>
        <v>TSP-2027-017</v>
      </c>
      <c r="C20" s="18">
        <f>'👥 MEMBRES'!B21</f>
        <v>0</v>
      </c>
      <c r="D20" s="18">
        <f>'👥 MEMBRES'!C21</f>
        <v>0</v>
      </c>
      <c r="E20" s="21">
        <f>IFERROR('💰 COTISATIONS'!BE20,0)</f>
        <v>0</v>
      </c>
      <c r="F20" s="24">
        <f>SUMIF('⚠️ PÉNALITÉS'!B:B,B20,'⚠️ PÉNALITÉS'!I:I)</f>
        <v>0</v>
      </c>
      <c r="G20" s="23">
        <f>SUMIF('🏦 PRÊTS'!B:B,B20,'🏦 PRÊTS'!Q:Q)</f>
        <v>0</v>
      </c>
      <c r="H20" s="34">
        <f t="shared" si="0"/>
        <v>0</v>
      </c>
      <c r="I20" s="25" t="str">
        <f t="shared" si="1"/>
        <v>✅ À jour</v>
      </c>
    </row>
    <row r="21" spans="1:9" ht="21.75" customHeight="1" x14ac:dyDescent="0.3">
      <c r="A21" s="43">
        <v>18</v>
      </c>
      <c r="B21" s="17" t="str">
        <f>'👥 MEMBRES'!A22</f>
        <v>TSP-2027-018</v>
      </c>
      <c r="C21" s="26">
        <f>'👥 MEMBRES'!B22</f>
        <v>0</v>
      </c>
      <c r="D21" s="26">
        <f>'👥 MEMBRES'!C22</f>
        <v>0</v>
      </c>
      <c r="E21" s="21">
        <f>IFERROR('💰 COTISATIONS'!BE21,0)</f>
        <v>0</v>
      </c>
      <c r="F21" s="24">
        <f>SUMIF('⚠️ PÉNALITÉS'!B:B,B21,'⚠️ PÉNALITÉS'!I:I)</f>
        <v>0</v>
      </c>
      <c r="G21" s="23">
        <f>SUMIF('🏦 PRÊTS'!B:B,B21,'🏦 PRÊTS'!Q:Q)</f>
        <v>0</v>
      </c>
      <c r="H21" s="34">
        <f t="shared" si="0"/>
        <v>0</v>
      </c>
      <c r="I21" s="28" t="str">
        <f t="shared" si="1"/>
        <v>✅ À jour</v>
      </c>
    </row>
    <row r="22" spans="1:9" ht="21.75" customHeight="1" x14ac:dyDescent="0.3">
      <c r="A22" s="42">
        <v>19</v>
      </c>
      <c r="B22" s="17" t="str">
        <f>'👥 MEMBRES'!A23</f>
        <v>TSP-2027-019</v>
      </c>
      <c r="C22" s="18">
        <f>'👥 MEMBRES'!B23</f>
        <v>0</v>
      </c>
      <c r="D22" s="18">
        <f>'👥 MEMBRES'!C23</f>
        <v>0</v>
      </c>
      <c r="E22" s="21">
        <f>IFERROR('💰 COTISATIONS'!BE22,0)</f>
        <v>0</v>
      </c>
      <c r="F22" s="24">
        <f>SUMIF('⚠️ PÉNALITÉS'!B:B,B22,'⚠️ PÉNALITÉS'!I:I)</f>
        <v>0</v>
      </c>
      <c r="G22" s="23">
        <f>SUMIF('🏦 PRÊTS'!B:B,B22,'🏦 PRÊTS'!Q:Q)</f>
        <v>0</v>
      </c>
      <c r="H22" s="34">
        <f t="shared" si="0"/>
        <v>0</v>
      </c>
      <c r="I22" s="25" t="str">
        <f t="shared" si="1"/>
        <v>✅ À jour</v>
      </c>
    </row>
    <row r="23" spans="1:9" ht="21.75" customHeight="1" x14ac:dyDescent="0.3">
      <c r="A23" s="43">
        <v>20</v>
      </c>
      <c r="B23" s="17" t="str">
        <f>'👥 MEMBRES'!A24</f>
        <v>TSP-2027-020</v>
      </c>
      <c r="C23" s="26">
        <f>'👥 MEMBRES'!B24</f>
        <v>0</v>
      </c>
      <c r="D23" s="26">
        <f>'👥 MEMBRES'!C24</f>
        <v>0</v>
      </c>
      <c r="E23" s="21">
        <f>IFERROR('💰 COTISATIONS'!BE23,0)</f>
        <v>0</v>
      </c>
      <c r="F23" s="24">
        <f>SUMIF('⚠️ PÉNALITÉS'!B:B,B23,'⚠️ PÉNALITÉS'!I:I)</f>
        <v>0</v>
      </c>
      <c r="G23" s="23">
        <f>SUMIF('🏦 PRÊTS'!B:B,B23,'🏦 PRÊTS'!Q:Q)</f>
        <v>0</v>
      </c>
      <c r="H23" s="34">
        <f t="shared" si="0"/>
        <v>0</v>
      </c>
      <c r="I23" s="28" t="str">
        <f t="shared" si="1"/>
        <v>✅ À jour</v>
      </c>
    </row>
    <row r="24" spans="1:9" ht="21.75" customHeight="1" x14ac:dyDescent="0.3">
      <c r="A24" s="42">
        <v>21</v>
      </c>
      <c r="B24" s="17" t="str">
        <f>'👥 MEMBRES'!A25</f>
        <v>TSP-2027-021</v>
      </c>
      <c r="C24" s="18">
        <f>'👥 MEMBRES'!B25</f>
        <v>0</v>
      </c>
      <c r="D24" s="18">
        <f>'👥 MEMBRES'!C25</f>
        <v>0</v>
      </c>
      <c r="E24" s="21">
        <f>IFERROR('💰 COTISATIONS'!BE24,0)</f>
        <v>0</v>
      </c>
      <c r="F24" s="24">
        <f>SUMIF('⚠️ PÉNALITÉS'!B:B,B24,'⚠️ PÉNALITÉS'!I:I)</f>
        <v>0</v>
      </c>
      <c r="G24" s="23">
        <f>SUMIF('🏦 PRÊTS'!B:B,B24,'🏦 PRÊTS'!Q:Q)</f>
        <v>0</v>
      </c>
      <c r="H24" s="34">
        <f t="shared" si="0"/>
        <v>0</v>
      </c>
      <c r="I24" s="25" t="str">
        <f t="shared" si="1"/>
        <v>✅ À jour</v>
      </c>
    </row>
    <row r="25" spans="1:9" ht="21.75" customHeight="1" x14ac:dyDescent="0.3">
      <c r="A25" s="43">
        <v>22</v>
      </c>
      <c r="B25" s="17" t="str">
        <f>'👥 MEMBRES'!A26</f>
        <v>TSP-2027-022</v>
      </c>
      <c r="C25" s="26">
        <f>'👥 MEMBRES'!B26</f>
        <v>0</v>
      </c>
      <c r="D25" s="26">
        <f>'👥 MEMBRES'!C26</f>
        <v>0</v>
      </c>
      <c r="E25" s="21">
        <f>IFERROR('💰 COTISATIONS'!BE25,0)</f>
        <v>0</v>
      </c>
      <c r="F25" s="24">
        <f>SUMIF('⚠️ PÉNALITÉS'!B:B,B25,'⚠️ PÉNALITÉS'!I:I)</f>
        <v>0</v>
      </c>
      <c r="G25" s="23">
        <f>SUMIF('🏦 PRÊTS'!B:B,B25,'🏦 PRÊTS'!Q:Q)</f>
        <v>0</v>
      </c>
      <c r="H25" s="34">
        <f t="shared" si="0"/>
        <v>0</v>
      </c>
      <c r="I25" s="28" t="str">
        <f t="shared" si="1"/>
        <v>✅ À jour</v>
      </c>
    </row>
    <row r="26" spans="1:9" ht="21.75" customHeight="1" x14ac:dyDescent="0.3">
      <c r="A26" s="42">
        <v>23</v>
      </c>
      <c r="B26" s="17" t="str">
        <f>'👥 MEMBRES'!A27</f>
        <v>TSP-2027-023</v>
      </c>
      <c r="C26" s="18">
        <f>'👥 MEMBRES'!B27</f>
        <v>0</v>
      </c>
      <c r="D26" s="18">
        <f>'👥 MEMBRES'!C27</f>
        <v>0</v>
      </c>
      <c r="E26" s="21">
        <f>IFERROR('💰 COTISATIONS'!BE26,0)</f>
        <v>0</v>
      </c>
      <c r="F26" s="24">
        <f>SUMIF('⚠️ PÉNALITÉS'!B:B,B26,'⚠️ PÉNALITÉS'!I:I)</f>
        <v>0</v>
      </c>
      <c r="G26" s="23">
        <f>SUMIF('🏦 PRÊTS'!B:B,B26,'🏦 PRÊTS'!Q:Q)</f>
        <v>0</v>
      </c>
      <c r="H26" s="34">
        <f t="shared" si="0"/>
        <v>0</v>
      </c>
      <c r="I26" s="25" t="str">
        <f t="shared" si="1"/>
        <v>✅ À jour</v>
      </c>
    </row>
    <row r="27" spans="1:9" ht="21.75" customHeight="1" x14ac:dyDescent="0.3">
      <c r="A27" s="43">
        <v>24</v>
      </c>
      <c r="B27" s="17" t="str">
        <f>'👥 MEMBRES'!A28</f>
        <v>TSP-2027-024</v>
      </c>
      <c r="C27" s="26">
        <f>'👥 MEMBRES'!B28</f>
        <v>0</v>
      </c>
      <c r="D27" s="26">
        <f>'👥 MEMBRES'!C28</f>
        <v>0</v>
      </c>
      <c r="E27" s="21">
        <f>IFERROR('💰 COTISATIONS'!BE27,0)</f>
        <v>0</v>
      </c>
      <c r="F27" s="24">
        <f>SUMIF('⚠️ PÉNALITÉS'!B:B,B27,'⚠️ PÉNALITÉS'!I:I)</f>
        <v>0</v>
      </c>
      <c r="G27" s="23">
        <f>SUMIF('🏦 PRÊTS'!B:B,B27,'🏦 PRÊTS'!Q:Q)</f>
        <v>0</v>
      </c>
      <c r="H27" s="34">
        <f t="shared" si="0"/>
        <v>0</v>
      </c>
      <c r="I27" s="28" t="str">
        <f t="shared" si="1"/>
        <v>✅ À jour</v>
      </c>
    </row>
    <row r="28" spans="1:9" ht="21.75" customHeight="1" x14ac:dyDescent="0.3">
      <c r="A28" s="42">
        <v>25</v>
      </c>
      <c r="B28" s="17" t="str">
        <f>'👥 MEMBRES'!A29</f>
        <v>TSP-2027-025</v>
      </c>
      <c r="C28" s="18">
        <f>'👥 MEMBRES'!B29</f>
        <v>0</v>
      </c>
      <c r="D28" s="18">
        <f>'👥 MEMBRES'!C29</f>
        <v>0</v>
      </c>
      <c r="E28" s="21">
        <f>IFERROR('💰 COTISATIONS'!BE28,0)</f>
        <v>0</v>
      </c>
      <c r="F28" s="24">
        <f>SUMIF('⚠️ PÉNALITÉS'!B:B,B28,'⚠️ PÉNALITÉS'!I:I)</f>
        <v>0</v>
      </c>
      <c r="G28" s="23">
        <f>SUMIF('🏦 PRÊTS'!B:B,B28,'🏦 PRÊTS'!Q:Q)</f>
        <v>0</v>
      </c>
      <c r="H28" s="34">
        <f t="shared" si="0"/>
        <v>0</v>
      </c>
      <c r="I28" s="25" t="str">
        <f t="shared" si="1"/>
        <v>✅ À jour</v>
      </c>
    </row>
    <row r="29" spans="1:9" ht="21.75" customHeight="1" x14ac:dyDescent="0.3">
      <c r="A29" s="43">
        <v>26</v>
      </c>
      <c r="B29" s="17" t="str">
        <f>'👥 MEMBRES'!A30</f>
        <v>TSP-2027-026</v>
      </c>
      <c r="C29" s="26">
        <f>'👥 MEMBRES'!B30</f>
        <v>0</v>
      </c>
      <c r="D29" s="26">
        <f>'👥 MEMBRES'!C30</f>
        <v>0</v>
      </c>
      <c r="E29" s="21">
        <f>IFERROR('💰 COTISATIONS'!BE29,0)</f>
        <v>0</v>
      </c>
      <c r="F29" s="24">
        <f>SUMIF('⚠️ PÉNALITÉS'!B:B,B29,'⚠️ PÉNALITÉS'!I:I)</f>
        <v>0</v>
      </c>
      <c r="G29" s="23">
        <f>SUMIF('🏦 PRÊTS'!B:B,B29,'🏦 PRÊTS'!Q:Q)</f>
        <v>0</v>
      </c>
      <c r="H29" s="34">
        <f t="shared" si="0"/>
        <v>0</v>
      </c>
      <c r="I29" s="28" t="str">
        <f t="shared" si="1"/>
        <v>✅ À jour</v>
      </c>
    </row>
    <row r="30" spans="1:9" ht="21.75" customHeight="1" x14ac:dyDescent="0.3">
      <c r="A30" s="42">
        <v>27</v>
      </c>
      <c r="B30" s="17" t="str">
        <f>'👥 MEMBRES'!A31</f>
        <v>TSP-2027-027</v>
      </c>
      <c r="C30" s="18">
        <f>'👥 MEMBRES'!B31</f>
        <v>0</v>
      </c>
      <c r="D30" s="18">
        <f>'👥 MEMBRES'!C31</f>
        <v>0</v>
      </c>
      <c r="E30" s="21">
        <f>IFERROR('💰 COTISATIONS'!BE30,0)</f>
        <v>0</v>
      </c>
      <c r="F30" s="24">
        <f>SUMIF('⚠️ PÉNALITÉS'!B:B,B30,'⚠️ PÉNALITÉS'!I:I)</f>
        <v>0</v>
      </c>
      <c r="G30" s="23">
        <f>SUMIF('🏦 PRÊTS'!B:B,B30,'🏦 PRÊTS'!Q:Q)</f>
        <v>0</v>
      </c>
      <c r="H30" s="34">
        <f t="shared" si="0"/>
        <v>0</v>
      </c>
      <c r="I30" s="25" t="str">
        <f t="shared" si="1"/>
        <v>✅ À jour</v>
      </c>
    </row>
    <row r="31" spans="1:9" ht="21.75" customHeight="1" x14ac:dyDescent="0.3">
      <c r="A31" s="43">
        <v>28</v>
      </c>
      <c r="B31" s="17" t="str">
        <f>'👥 MEMBRES'!A32</f>
        <v>TSP-2027-028</v>
      </c>
      <c r="C31" s="26">
        <f>'👥 MEMBRES'!B32</f>
        <v>0</v>
      </c>
      <c r="D31" s="26">
        <f>'👥 MEMBRES'!C32</f>
        <v>0</v>
      </c>
      <c r="E31" s="21">
        <f>IFERROR('💰 COTISATIONS'!BE31,0)</f>
        <v>0</v>
      </c>
      <c r="F31" s="24">
        <f>SUMIF('⚠️ PÉNALITÉS'!B:B,B31,'⚠️ PÉNALITÉS'!I:I)</f>
        <v>0</v>
      </c>
      <c r="G31" s="23">
        <f>SUMIF('🏦 PRÊTS'!B:B,B31,'🏦 PRÊTS'!Q:Q)</f>
        <v>0</v>
      </c>
      <c r="H31" s="34">
        <f t="shared" si="0"/>
        <v>0</v>
      </c>
      <c r="I31" s="28" t="str">
        <f>IF(G31&gt;0,"🔴 Prêt en cours",IF(F31&gt;0,"⚠️ Pén. dues","✅ À jour"))</f>
        <v>✅ À jour</v>
      </c>
    </row>
    <row r="32" spans="1:9" ht="21.75" customHeight="1" x14ac:dyDescent="0.3">
      <c r="A32" s="42">
        <v>29</v>
      </c>
      <c r="B32" s="17" t="str">
        <f>'👥 MEMBRES'!A33</f>
        <v>TSP-2027-029</v>
      </c>
      <c r="C32" s="18">
        <f>'👥 MEMBRES'!B33</f>
        <v>0</v>
      </c>
      <c r="D32" s="18">
        <f>'👥 MEMBRES'!C33</f>
        <v>0</v>
      </c>
      <c r="E32" s="21">
        <f>IFERROR('💰 COTISATIONS'!BE32,0)</f>
        <v>0</v>
      </c>
      <c r="F32" s="24">
        <f>SUMIF('⚠️ PÉNALITÉS'!B:B,B32,'⚠️ PÉNALITÉS'!I:I)</f>
        <v>0</v>
      </c>
      <c r="G32" s="23">
        <f>SUMIF('🏦 PRÊTS'!B:B,B32,'🏦 PRÊTS'!Q:Q)</f>
        <v>0</v>
      </c>
      <c r="H32" s="34">
        <f t="shared" si="0"/>
        <v>0</v>
      </c>
      <c r="I32" s="25" t="str">
        <f t="shared" si="1"/>
        <v>✅ À jour</v>
      </c>
    </row>
    <row r="33" spans="1:9" ht="21.75" customHeight="1" x14ac:dyDescent="0.3">
      <c r="A33" s="43">
        <v>30</v>
      </c>
      <c r="B33" s="17" t="str">
        <f>'👥 MEMBRES'!A34</f>
        <v>TSP-2027-030</v>
      </c>
      <c r="C33" s="26">
        <f>'👥 MEMBRES'!B34</f>
        <v>0</v>
      </c>
      <c r="D33" s="26">
        <f>'👥 MEMBRES'!C34</f>
        <v>0</v>
      </c>
      <c r="E33" s="21">
        <f>IFERROR('💰 COTISATIONS'!BE33,0)</f>
        <v>0</v>
      </c>
      <c r="F33" s="24">
        <f>SUMIF('⚠️ PÉNALITÉS'!B:B,B33,'⚠️ PÉNALITÉS'!I:I)</f>
        <v>0</v>
      </c>
      <c r="G33" s="23">
        <f>SUMIF('🏦 PRÊTS'!B:B,B33,'🏦 PRÊTS'!Q:Q)</f>
        <v>0</v>
      </c>
      <c r="H33" s="34">
        <f t="shared" si="0"/>
        <v>0</v>
      </c>
      <c r="I33" s="28" t="str">
        <f t="shared" si="1"/>
        <v>✅ À jour</v>
      </c>
    </row>
    <row r="34" spans="1:9" ht="21.75" customHeight="1" x14ac:dyDescent="0.3">
      <c r="A34" s="42">
        <v>31</v>
      </c>
      <c r="B34" s="17" t="str">
        <f>'👥 MEMBRES'!A35</f>
        <v>TSP-2027-031</v>
      </c>
      <c r="C34" s="18">
        <f>'👥 MEMBRES'!B35</f>
        <v>0</v>
      </c>
      <c r="D34" s="18">
        <f>'👥 MEMBRES'!C35</f>
        <v>0</v>
      </c>
      <c r="E34" s="21">
        <f>IFERROR('💰 COTISATIONS'!BE34,0)</f>
        <v>0</v>
      </c>
      <c r="F34" s="24">
        <f>SUMIF('⚠️ PÉNALITÉS'!B:B,B34,'⚠️ PÉNALITÉS'!I:I)</f>
        <v>0</v>
      </c>
      <c r="G34" s="23">
        <f>SUMIF('🏦 PRÊTS'!B:B,B34,'🏦 PRÊTS'!Q:Q)</f>
        <v>0</v>
      </c>
      <c r="H34" s="34">
        <f t="shared" si="0"/>
        <v>0</v>
      </c>
      <c r="I34" s="25" t="str">
        <f t="shared" si="1"/>
        <v>✅ À jour</v>
      </c>
    </row>
    <row r="35" spans="1:9" ht="21.75" customHeight="1" x14ac:dyDescent="0.3">
      <c r="A35" s="43">
        <v>32</v>
      </c>
      <c r="B35" s="17" t="str">
        <f>'👥 MEMBRES'!A36</f>
        <v>TSP-2027-032</v>
      </c>
      <c r="C35" s="26">
        <f>'👥 MEMBRES'!B36</f>
        <v>0</v>
      </c>
      <c r="D35" s="26">
        <f>'👥 MEMBRES'!C36</f>
        <v>0</v>
      </c>
      <c r="E35" s="21">
        <f>IFERROR('💰 COTISATIONS'!BE35,0)</f>
        <v>0</v>
      </c>
      <c r="F35" s="24">
        <f>SUMIF('⚠️ PÉNALITÉS'!B:B,B35,'⚠️ PÉNALITÉS'!I:I)</f>
        <v>0</v>
      </c>
      <c r="G35" s="23">
        <f>SUMIF('🏦 PRÊTS'!B:B,B35,'🏦 PRÊTS'!Q:Q)</f>
        <v>0</v>
      </c>
      <c r="H35" s="34">
        <f t="shared" si="0"/>
        <v>0</v>
      </c>
      <c r="I35" s="28" t="str">
        <f t="shared" si="1"/>
        <v>✅ À jour</v>
      </c>
    </row>
    <row r="36" spans="1:9" ht="21.75" customHeight="1" x14ac:dyDescent="0.3">
      <c r="A36" s="42">
        <v>33</v>
      </c>
      <c r="B36" s="17" t="str">
        <f>'👥 MEMBRES'!A37</f>
        <v>TSP-2027-033</v>
      </c>
      <c r="C36" s="18">
        <f>'👥 MEMBRES'!B37</f>
        <v>0</v>
      </c>
      <c r="D36" s="18">
        <f>'👥 MEMBRES'!C37</f>
        <v>0</v>
      </c>
      <c r="E36" s="21">
        <f>IFERROR('💰 COTISATIONS'!BE36,0)</f>
        <v>0</v>
      </c>
      <c r="F36" s="24">
        <f>SUMIF('⚠️ PÉNALITÉS'!B:B,B36,'⚠️ PÉNALITÉS'!I:I)</f>
        <v>0</v>
      </c>
      <c r="G36" s="23">
        <f>SUMIF('🏦 PRÊTS'!B:B,B36,'🏦 PRÊTS'!Q:Q)</f>
        <v>0</v>
      </c>
      <c r="H36" s="34">
        <f t="shared" ref="H36:H53" si="2">E36-F36-G36</f>
        <v>0</v>
      </c>
      <c r="I36" s="25" t="str">
        <f t="shared" ref="I36:I53" si="3">IF(G36&gt;0,"🔴 Prêt en cours",IF(F36&gt;0,"⚠️ Pén. dues","✅ À jour"))</f>
        <v>✅ À jour</v>
      </c>
    </row>
    <row r="37" spans="1:9" ht="21.75" customHeight="1" x14ac:dyDescent="0.3">
      <c r="A37" s="43">
        <v>34</v>
      </c>
      <c r="B37" s="17" t="str">
        <f>'👥 MEMBRES'!A38</f>
        <v>TSP-2027-034</v>
      </c>
      <c r="C37" s="26">
        <f>'👥 MEMBRES'!B38</f>
        <v>0</v>
      </c>
      <c r="D37" s="26">
        <f>'👥 MEMBRES'!C38</f>
        <v>0</v>
      </c>
      <c r="E37" s="21">
        <f>IFERROR('💰 COTISATIONS'!BE37,0)</f>
        <v>0</v>
      </c>
      <c r="F37" s="24">
        <f>SUMIF('⚠️ PÉNALITÉS'!B:B,B37,'⚠️ PÉNALITÉS'!I:I)</f>
        <v>0</v>
      </c>
      <c r="G37" s="23">
        <f>SUMIF('🏦 PRÊTS'!B:B,B37,'🏦 PRÊTS'!Q:Q)</f>
        <v>0</v>
      </c>
      <c r="H37" s="34">
        <f t="shared" si="2"/>
        <v>0</v>
      </c>
      <c r="I37" s="28" t="str">
        <f t="shared" si="3"/>
        <v>✅ À jour</v>
      </c>
    </row>
    <row r="38" spans="1:9" ht="21.75" customHeight="1" x14ac:dyDescent="0.3">
      <c r="A38" s="42">
        <v>35</v>
      </c>
      <c r="B38" s="17" t="str">
        <f>'👥 MEMBRES'!A39</f>
        <v>TSP-2027-035</v>
      </c>
      <c r="C38" s="18">
        <f>'👥 MEMBRES'!B39</f>
        <v>0</v>
      </c>
      <c r="D38" s="18">
        <f>'👥 MEMBRES'!C39</f>
        <v>0</v>
      </c>
      <c r="E38" s="21">
        <f>IFERROR('💰 COTISATIONS'!BE38,0)</f>
        <v>0</v>
      </c>
      <c r="F38" s="24">
        <f>SUMIF('⚠️ PÉNALITÉS'!B:B,B38,'⚠️ PÉNALITÉS'!I:I)</f>
        <v>0</v>
      </c>
      <c r="G38" s="23">
        <f>SUMIF('🏦 PRÊTS'!B:B,B38,'🏦 PRÊTS'!Q:Q)</f>
        <v>0</v>
      </c>
      <c r="H38" s="34">
        <f t="shared" si="2"/>
        <v>0</v>
      </c>
      <c r="I38" s="25" t="str">
        <f t="shared" si="3"/>
        <v>✅ À jour</v>
      </c>
    </row>
    <row r="39" spans="1:9" ht="21.75" customHeight="1" x14ac:dyDescent="0.3">
      <c r="A39" s="43">
        <v>36</v>
      </c>
      <c r="B39" s="17" t="str">
        <f>'👥 MEMBRES'!A40</f>
        <v>TSP-2027-036</v>
      </c>
      <c r="C39" s="26">
        <f>'👥 MEMBRES'!B40</f>
        <v>0</v>
      </c>
      <c r="D39" s="26">
        <f>'👥 MEMBRES'!C40</f>
        <v>0</v>
      </c>
      <c r="E39" s="21">
        <f>IFERROR('💰 COTISATIONS'!BE39,0)</f>
        <v>0</v>
      </c>
      <c r="F39" s="24">
        <f>SUMIF('⚠️ PÉNALITÉS'!B:B,B39,'⚠️ PÉNALITÉS'!I:I)</f>
        <v>0</v>
      </c>
      <c r="G39" s="23">
        <f>SUMIF('🏦 PRÊTS'!B:B,B39,'🏦 PRÊTS'!Q:Q)</f>
        <v>0</v>
      </c>
      <c r="H39" s="34">
        <f t="shared" si="2"/>
        <v>0</v>
      </c>
      <c r="I39" s="28" t="str">
        <f t="shared" si="3"/>
        <v>✅ À jour</v>
      </c>
    </row>
    <row r="40" spans="1:9" ht="21.75" customHeight="1" x14ac:dyDescent="0.3">
      <c r="A40" s="42">
        <v>37</v>
      </c>
      <c r="B40" s="17" t="str">
        <f>'👥 MEMBRES'!A41</f>
        <v>TSP-2027-037</v>
      </c>
      <c r="C40" s="18">
        <f>'👥 MEMBRES'!B41</f>
        <v>0</v>
      </c>
      <c r="D40" s="18">
        <f>'👥 MEMBRES'!C41</f>
        <v>0</v>
      </c>
      <c r="E40" s="21">
        <f>IFERROR('💰 COTISATIONS'!BE40,0)</f>
        <v>0</v>
      </c>
      <c r="F40" s="24">
        <f>SUMIF('⚠️ PÉNALITÉS'!B:B,B40,'⚠️ PÉNALITÉS'!I:I)</f>
        <v>0</v>
      </c>
      <c r="G40" s="23">
        <f>SUMIF('🏦 PRÊTS'!B:B,B40,'🏦 PRÊTS'!Q:Q)</f>
        <v>0</v>
      </c>
      <c r="H40" s="34">
        <f t="shared" si="2"/>
        <v>0</v>
      </c>
      <c r="I40" s="25" t="str">
        <f t="shared" si="3"/>
        <v>✅ À jour</v>
      </c>
    </row>
    <row r="41" spans="1:9" ht="21.75" customHeight="1" x14ac:dyDescent="0.3">
      <c r="A41" s="43">
        <v>38</v>
      </c>
      <c r="B41" s="17" t="str">
        <f>'👥 MEMBRES'!A42</f>
        <v>TSP-2027-038</v>
      </c>
      <c r="C41" s="26">
        <f>'👥 MEMBRES'!B42</f>
        <v>0</v>
      </c>
      <c r="D41" s="26">
        <f>'👥 MEMBRES'!C42</f>
        <v>0</v>
      </c>
      <c r="E41" s="21">
        <f>IFERROR('💰 COTISATIONS'!BE41,0)</f>
        <v>0</v>
      </c>
      <c r="F41" s="24">
        <f>SUMIF('⚠️ PÉNALITÉS'!B:B,B41,'⚠️ PÉNALITÉS'!I:I)</f>
        <v>0</v>
      </c>
      <c r="G41" s="23">
        <f>SUMIF('🏦 PRÊTS'!B:B,B41,'🏦 PRÊTS'!Q:Q)</f>
        <v>0</v>
      </c>
      <c r="H41" s="34">
        <f t="shared" si="2"/>
        <v>0</v>
      </c>
      <c r="I41" s="28" t="str">
        <f t="shared" si="3"/>
        <v>✅ À jour</v>
      </c>
    </row>
    <row r="42" spans="1:9" ht="21.75" customHeight="1" x14ac:dyDescent="0.3">
      <c r="A42" s="42">
        <v>39</v>
      </c>
      <c r="B42" s="17" t="str">
        <f>'👥 MEMBRES'!A43</f>
        <v>TSP-2027-039</v>
      </c>
      <c r="C42" s="18">
        <f>'👥 MEMBRES'!B43</f>
        <v>0</v>
      </c>
      <c r="D42" s="18">
        <f>'👥 MEMBRES'!C43</f>
        <v>0</v>
      </c>
      <c r="E42" s="21">
        <f>IFERROR('💰 COTISATIONS'!BE42,0)</f>
        <v>0</v>
      </c>
      <c r="F42" s="24">
        <f>SUMIF('⚠️ PÉNALITÉS'!B:B,B42,'⚠️ PÉNALITÉS'!I:I)</f>
        <v>0</v>
      </c>
      <c r="G42" s="23">
        <f>SUMIF('🏦 PRÊTS'!B:B,B42,'🏦 PRÊTS'!Q:Q)</f>
        <v>0</v>
      </c>
      <c r="H42" s="34">
        <f t="shared" si="2"/>
        <v>0</v>
      </c>
      <c r="I42" s="25" t="str">
        <f t="shared" si="3"/>
        <v>✅ À jour</v>
      </c>
    </row>
    <row r="43" spans="1:9" ht="21.75" customHeight="1" x14ac:dyDescent="0.3">
      <c r="A43" s="43">
        <v>40</v>
      </c>
      <c r="B43" s="17" t="str">
        <f>'👥 MEMBRES'!A44</f>
        <v>TSP-2027-040</v>
      </c>
      <c r="C43" s="26">
        <f>'👥 MEMBRES'!B44</f>
        <v>0</v>
      </c>
      <c r="D43" s="26">
        <f>'👥 MEMBRES'!C44</f>
        <v>0</v>
      </c>
      <c r="E43" s="21">
        <f>IFERROR('💰 COTISATIONS'!BE43,0)</f>
        <v>0</v>
      </c>
      <c r="F43" s="24">
        <f>SUMIF('⚠️ PÉNALITÉS'!B:B,B43,'⚠️ PÉNALITÉS'!I:I)</f>
        <v>0</v>
      </c>
      <c r="G43" s="23">
        <f>SUMIF('🏦 PRÊTS'!B:B,B43,'🏦 PRÊTS'!Q:Q)</f>
        <v>0</v>
      </c>
      <c r="H43" s="34">
        <f t="shared" si="2"/>
        <v>0</v>
      </c>
      <c r="I43" s="28" t="str">
        <f t="shared" si="3"/>
        <v>✅ À jour</v>
      </c>
    </row>
    <row r="44" spans="1:9" ht="21.75" customHeight="1" x14ac:dyDescent="0.3">
      <c r="A44" s="42">
        <v>41</v>
      </c>
      <c r="B44" s="17" t="str">
        <f>'👥 MEMBRES'!A45</f>
        <v>TSP-2027-041</v>
      </c>
      <c r="C44" s="18">
        <f>'👥 MEMBRES'!B45</f>
        <v>0</v>
      </c>
      <c r="D44" s="18">
        <f>'👥 MEMBRES'!C45</f>
        <v>0</v>
      </c>
      <c r="E44" s="21">
        <f>IFERROR('💰 COTISATIONS'!BE44,0)</f>
        <v>0</v>
      </c>
      <c r="F44" s="24">
        <f>SUMIF('⚠️ PÉNALITÉS'!B:B,B44,'⚠️ PÉNALITÉS'!I:I)</f>
        <v>0</v>
      </c>
      <c r="G44" s="23">
        <f>SUMIF('🏦 PRÊTS'!B:B,B44,'🏦 PRÊTS'!Q:Q)</f>
        <v>0</v>
      </c>
      <c r="H44" s="34">
        <f t="shared" si="2"/>
        <v>0</v>
      </c>
      <c r="I44" s="25" t="str">
        <f t="shared" si="3"/>
        <v>✅ À jour</v>
      </c>
    </row>
    <row r="45" spans="1:9" ht="21.75" customHeight="1" x14ac:dyDescent="0.3">
      <c r="A45" s="43">
        <v>42</v>
      </c>
      <c r="B45" s="17" t="str">
        <f>'👥 MEMBRES'!A46</f>
        <v>TSP-2027-042</v>
      </c>
      <c r="C45" s="26">
        <f>'👥 MEMBRES'!B46</f>
        <v>0</v>
      </c>
      <c r="D45" s="26">
        <f>'👥 MEMBRES'!C46</f>
        <v>0</v>
      </c>
      <c r="E45" s="21">
        <f>IFERROR('💰 COTISATIONS'!BE45,0)</f>
        <v>0</v>
      </c>
      <c r="F45" s="24">
        <f>SUMIF('⚠️ PÉNALITÉS'!B:B,B45,'⚠️ PÉNALITÉS'!I:I)</f>
        <v>0</v>
      </c>
      <c r="G45" s="23">
        <f>SUMIF('🏦 PRÊTS'!B:B,B45,'🏦 PRÊTS'!Q:Q)</f>
        <v>0</v>
      </c>
      <c r="H45" s="34">
        <f t="shared" si="2"/>
        <v>0</v>
      </c>
      <c r="I45" s="28" t="str">
        <f t="shared" si="3"/>
        <v>✅ À jour</v>
      </c>
    </row>
    <row r="46" spans="1:9" ht="21.75" customHeight="1" x14ac:dyDescent="0.3">
      <c r="A46" s="42">
        <v>43</v>
      </c>
      <c r="B46" s="17" t="str">
        <f>'👥 MEMBRES'!A47</f>
        <v>TSP-2027-043</v>
      </c>
      <c r="C46" s="18">
        <f>'👥 MEMBRES'!B47</f>
        <v>0</v>
      </c>
      <c r="D46" s="18">
        <f>'👥 MEMBRES'!C47</f>
        <v>0</v>
      </c>
      <c r="E46" s="21">
        <f>IFERROR('💰 COTISATIONS'!BE46,0)</f>
        <v>0</v>
      </c>
      <c r="F46" s="24">
        <f>SUMIF('⚠️ PÉNALITÉS'!B:B,B46,'⚠️ PÉNALITÉS'!I:I)</f>
        <v>0</v>
      </c>
      <c r="G46" s="23">
        <f>SUMIF('🏦 PRÊTS'!B:B,B46,'🏦 PRÊTS'!Q:Q)</f>
        <v>0</v>
      </c>
      <c r="H46" s="34">
        <f t="shared" si="2"/>
        <v>0</v>
      </c>
      <c r="I46" s="25" t="str">
        <f t="shared" si="3"/>
        <v>✅ À jour</v>
      </c>
    </row>
    <row r="47" spans="1:9" ht="21.75" customHeight="1" x14ac:dyDescent="0.3">
      <c r="A47" s="43">
        <v>44</v>
      </c>
      <c r="B47" s="17" t="str">
        <f>'👥 MEMBRES'!A48</f>
        <v>TSP-2027-044</v>
      </c>
      <c r="C47" s="26">
        <f>'👥 MEMBRES'!B48</f>
        <v>0</v>
      </c>
      <c r="D47" s="26">
        <f>'👥 MEMBRES'!C48</f>
        <v>0</v>
      </c>
      <c r="E47" s="21">
        <f>IFERROR('💰 COTISATIONS'!BE47,0)</f>
        <v>0</v>
      </c>
      <c r="F47" s="24">
        <f>SUMIF('⚠️ PÉNALITÉS'!B:B,B47,'⚠️ PÉNALITÉS'!I:I)</f>
        <v>0</v>
      </c>
      <c r="G47" s="23">
        <f>SUMIF('🏦 PRÊTS'!B:B,B47,'🏦 PRÊTS'!Q:Q)</f>
        <v>0</v>
      </c>
      <c r="H47" s="34">
        <f t="shared" si="2"/>
        <v>0</v>
      </c>
      <c r="I47" s="28" t="str">
        <f t="shared" si="3"/>
        <v>✅ À jour</v>
      </c>
    </row>
    <row r="48" spans="1:9" ht="21.75" customHeight="1" x14ac:dyDescent="0.3">
      <c r="A48" s="42">
        <v>45</v>
      </c>
      <c r="B48" s="17" t="str">
        <f>'👥 MEMBRES'!A49</f>
        <v>TSP-2027-045</v>
      </c>
      <c r="C48" s="18">
        <f>'👥 MEMBRES'!B49</f>
        <v>0</v>
      </c>
      <c r="D48" s="18">
        <f>'👥 MEMBRES'!C49</f>
        <v>0</v>
      </c>
      <c r="E48" s="21">
        <f>IFERROR('💰 COTISATIONS'!BE48,0)</f>
        <v>0</v>
      </c>
      <c r="F48" s="24">
        <f>SUMIF('⚠️ PÉNALITÉS'!B:B,B48,'⚠️ PÉNALITÉS'!I:I)</f>
        <v>0</v>
      </c>
      <c r="G48" s="23">
        <f>SUMIF('🏦 PRÊTS'!B:B,B48,'🏦 PRÊTS'!Q:Q)</f>
        <v>0</v>
      </c>
      <c r="H48" s="34">
        <f t="shared" si="2"/>
        <v>0</v>
      </c>
      <c r="I48" s="25" t="str">
        <f t="shared" si="3"/>
        <v>✅ À jour</v>
      </c>
    </row>
    <row r="49" spans="1:9" ht="21.75" customHeight="1" x14ac:dyDescent="0.3">
      <c r="A49" s="43">
        <v>46</v>
      </c>
      <c r="B49" s="17" t="str">
        <f>'👥 MEMBRES'!A50</f>
        <v>TSP-2027-046</v>
      </c>
      <c r="C49" s="26">
        <f>'👥 MEMBRES'!B50</f>
        <v>0</v>
      </c>
      <c r="D49" s="26">
        <f>'👥 MEMBRES'!C50</f>
        <v>0</v>
      </c>
      <c r="E49" s="21">
        <f>IFERROR('💰 COTISATIONS'!BE49,0)</f>
        <v>0</v>
      </c>
      <c r="F49" s="24">
        <f>SUMIF('⚠️ PÉNALITÉS'!B:B,B49,'⚠️ PÉNALITÉS'!I:I)</f>
        <v>0</v>
      </c>
      <c r="G49" s="23">
        <f>SUMIF('🏦 PRÊTS'!B:B,B49,'🏦 PRÊTS'!Q:Q)</f>
        <v>0</v>
      </c>
      <c r="H49" s="34">
        <f t="shared" si="2"/>
        <v>0</v>
      </c>
      <c r="I49" s="28" t="str">
        <f t="shared" si="3"/>
        <v>✅ À jour</v>
      </c>
    </row>
    <row r="50" spans="1:9" ht="21.75" customHeight="1" x14ac:dyDescent="0.3">
      <c r="A50" s="42">
        <v>47</v>
      </c>
      <c r="B50" s="17" t="str">
        <f>'👥 MEMBRES'!A51</f>
        <v>TSP-2027-047</v>
      </c>
      <c r="C50" s="18">
        <f>'👥 MEMBRES'!B51</f>
        <v>0</v>
      </c>
      <c r="D50" s="18">
        <f>'👥 MEMBRES'!C51</f>
        <v>0</v>
      </c>
      <c r="E50" s="21">
        <f>IFERROR('💰 COTISATIONS'!BE50,0)</f>
        <v>0</v>
      </c>
      <c r="F50" s="24">
        <f>SUMIF('⚠️ PÉNALITÉS'!B:B,B50,'⚠️ PÉNALITÉS'!I:I)</f>
        <v>0</v>
      </c>
      <c r="G50" s="23">
        <f>SUMIF('🏦 PRÊTS'!B:B,B50,'🏦 PRÊTS'!Q:Q)</f>
        <v>0</v>
      </c>
      <c r="H50" s="34">
        <f t="shared" si="2"/>
        <v>0</v>
      </c>
      <c r="I50" s="25" t="str">
        <f t="shared" si="3"/>
        <v>✅ À jour</v>
      </c>
    </row>
    <row r="51" spans="1:9" ht="21.75" customHeight="1" x14ac:dyDescent="0.3">
      <c r="A51" s="43">
        <v>48</v>
      </c>
      <c r="B51" s="17" t="str">
        <f>'👥 MEMBRES'!A52</f>
        <v>TSP-2027-048</v>
      </c>
      <c r="C51" s="26">
        <f>'👥 MEMBRES'!B52</f>
        <v>0</v>
      </c>
      <c r="D51" s="26">
        <f>'👥 MEMBRES'!C52</f>
        <v>0</v>
      </c>
      <c r="E51" s="21">
        <f>IFERROR('💰 COTISATIONS'!BE51,0)</f>
        <v>0</v>
      </c>
      <c r="F51" s="24">
        <f>SUMIF('⚠️ PÉNALITÉS'!B:B,B51,'⚠️ PÉNALITÉS'!I:I)</f>
        <v>0</v>
      </c>
      <c r="G51" s="23">
        <f>SUMIF('🏦 PRÊTS'!B:B,B51,'🏦 PRÊTS'!Q:Q)</f>
        <v>0</v>
      </c>
      <c r="H51" s="34">
        <f t="shared" si="2"/>
        <v>0</v>
      </c>
      <c r="I51" s="28" t="str">
        <f t="shared" si="3"/>
        <v>✅ À jour</v>
      </c>
    </row>
    <row r="52" spans="1:9" ht="21.75" customHeight="1" x14ac:dyDescent="0.3">
      <c r="A52" s="42">
        <v>49</v>
      </c>
      <c r="B52" s="17" t="str">
        <f>'👥 MEMBRES'!A53</f>
        <v>TSP-2027-049</v>
      </c>
      <c r="C52" s="18">
        <f>'👥 MEMBRES'!B53</f>
        <v>0</v>
      </c>
      <c r="D52" s="18">
        <f>'👥 MEMBRES'!C53</f>
        <v>0</v>
      </c>
      <c r="E52" s="21">
        <f>IFERROR('💰 COTISATIONS'!BE52,0)</f>
        <v>0</v>
      </c>
      <c r="F52" s="24">
        <f>SUMIF('⚠️ PÉNALITÉS'!B:B,B52,'⚠️ PÉNALITÉS'!I:I)</f>
        <v>0</v>
      </c>
      <c r="G52" s="23">
        <f>SUMIF('🏦 PRÊTS'!B:B,B52,'🏦 PRÊTS'!Q:Q)</f>
        <v>0</v>
      </c>
      <c r="H52" s="34">
        <f t="shared" si="2"/>
        <v>0</v>
      </c>
      <c r="I52" s="25" t="str">
        <f t="shared" si="3"/>
        <v>✅ À jour</v>
      </c>
    </row>
    <row r="53" spans="1:9" ht="21.75" customHeight="1" x14ac:dyDescent="0.3">
      <c r="A53" s="43">
        <v>50</v>
      </c>
      <c r="B53" s="17" t="str">
        <f>'👥 MEMBRES'!A54</f>
        <v>TSP-2027-050</v>
      </c>
      <c r="C53" s="26">
        <f>'👥 MEMBRES'!B54</f>
        <v>0</v>
      </c>
      <c r="D53" s="26">
        <f>'👥 MEMBRES'!C54</f>
        <v>0</v>
      </c>
      <c r="E53" s="21">
        <f>IFERROR('💰 COTISATIONS'!BE53,0)</f>
        <v>0</v>
      </c>
      <c r="F53" s="24">
        <f>SUMIF('⚠️ PÉNALITÉS'!B:B,B53,'⚠️ PÉNALITÉS'!I:I)</f>
        <v>0</v>
      </c>
      <c r="G53" s="23">
        <f>SUMIF('🏦 PRÊTS'!B:B,B53,'🏦 PRÊTS'!Q:Q)</f>
        <v>0</v>
      </c>
      <c r="H53" s="34">
        <f t="shared" si="2"/>
        <v>0</v>
      </c>
      <c r="I53" s="28" t="str">
        <f t="shared" si="3"/>
        <v>✅ À jour</v>
      </c>
    </row>
    <row r="54" spans="1:9" ht="15" customHeight="1" x14ac:dyDescent="0.3">
      <c r="A54" s="123" t="s">
        <v>1237</v>
      </c>
      <c r="B54" s="123"/>
      <c r="C54" s="123"/>
      <c r="D54" s="123"/>
      <c r="E54" s="37">
        <f>SUM(E4:E53)</f>
        <v>0</v>
      </c>
      <c r="F54" s="37">
        <f>SUM(F4:F53)</f>
        <v>0</v>
      </c>
      <c r="G54" s="37">
        <f>SUM(G4:G53)</f>
        <v>0</v>
      </c>
      <c r="H54" s="37">
        <f>SUM(H4:H53)</f>
        <v>0</v>
      </c>
      <c r="I54" s="31"/>
    </row>
  </sheetData>
  <mergeCells count="3">
    <mergeCell ref="A1:I1"/>
    <mergeCell ref="A2:I2"/>
    <mergeCell ref="A54:D54"/>
  </mergeCells>
  <conditionalFormatting sqref="H4:H53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1"/>
  <sheetViews>
    <sheetView showGridLines="0" zoomScaleNormal="100" workbookViewId="0">
      <selection activeCell="C5" sqref="C5"/>
    </sheetView>
  </sheetViews>
  <sheetFormatPr baseColWidth="10" defaultColWidth="8.6640625" defaultRowHeight="14.4" x14ac:dyDescent="0.3"/>
  <cols>
    <col min="1" max="1" width="3" customWidth="1"/>
    <col min="2" max="2" width="38.21875" customWidth="1"/>
    <col min="3" max="3" width="128.44140625" customWidth="1"/>
    <col min="4" max="4" width="3" customWidth="1"/>
  </cols>
  <sheetData>
    <row r="1" spans="1:3" ht="39.75" customHeight="1" x14ac:dyDescent="0.3">
      <c r="A1" s="71" t="s">
        <v>1238</v>
      </c>
      <c r="B1" s="71"/>
      <c r="C1" s="71"/>
    </row>
    <row r="2" spans="1:3" ht="15" customHeight="1" x14ac:dyDescent="0.3">
      <c r="B2" s="124" t="s">
        <v>1239</v>
      </c>
      <c r="C2" s="125"/>
    </row>
    <row r="3" spans="1:3" ht="30" customHeight="1" x14ac:dyDescent="0.3">
      <c r="B3" s="126"/>
      <c r="C3" s="126"/>
    </row>
    <row r="4" spans="1:3" ht="27.75" customHeight="1" x14ac:dyDescent="0.3">
      <c r="B4" s="2" t="s">
        <v>1240</v>
      </c>
      <c r="C4" s="44" t="str">
        <f>IF(B3="","— Saisir l'ID —",B3)</f>
        <v>— Saisir l'ID —</v>
      </c>
    </row>
    <row r="5" spans="1:3" ht="27.75" customHeight="1" x14ac:dyDescent="0.3">
      <c r="B5" s="7" t="s">
        <v>1241</v>
      </c>
      <c r="C5" s="44" t="str" cm="1">
        <f t="array" ref="C5">IF(B3="","",IFERROR(C4(B3,'🏦 PRÊTS'!A:C,3,0),""))</f>
        <v/>
      </c>
    </row>
    <row r="6" spans="1:3" ht="27.75" customHeight="1" x14ac:dyDescent="0.3">
      <c r="B6" s="2" t="s">
        <v>1242</v>
      </c>
      <c r="C6" s="44" t="str">
        <f>IF(B3="","",IFERROR(VLOOKUP(B3,'🏦 PRÊTS'!A:'📋 SOLDE MEMBRES'!J10,4,0),""))</f>
        <v/>
      </c>
    </row>
    <row r="7" spans="1:3" ht="27.75" customHeight="1" x14ac:dyDescent="0.3">
      <c r="B7" s="7" t="s">
        <v>1243</v>
      </c>
      <c r="C7" s="44" t="str">
        <f>IF(B3="","",IFERROR(VLOOKUP(B3,'🏦 PRÊTS'!A:B,2,0),""))</f>
        <v/>
      </c>
    </row>
    <row r="8" spans="1:3" ht="27.75" customHeight="1" x14ac:dyDescent="0.3">
      <c r="B8" s="2" t="s">
        <v>1244</v>
      </c>
      <c r="C8" s="45" t="str">
        <f>IF(B3="","",IFERROR(VLOOKUP(B3,'🏦 PRÊTS'!A:E,5,0),""))</f>
        <v/>
      </c>
    </row>
    <row r="9" spans="1:3" ht="27.75" customHeight="1" x14ac:dyDescent="0.3">
      <c r="B9" s="7" t="s">
        <v>1245</v>
      </c>
      <c r="C9" s="46" t="str">
        <f>IF(B3="","",IFERROR(VLOOKUP(B3,'🏦 PRÊTS'!A:F,6,0),""))</f>
        <v/>
      </c>
    </row>
    <row r="10" spans="1:3" ht="27.75" customHeight="1" x14ac:dyDescent="0.3">
      <c r="B10" s="2" t="s">
        <v>1246</v>
      </c>
      <c r="C10" s="46" t="str">
        <f>IF(B3="","",IFERROR(VLOOKUP(B3,'🏦 PRÊTS'!A:G,7,0),""))</f>
        <v/>
      </c>
    </row>
    <row r="11" spans="1:3" ht="27.75" customHeight="1" x14ac:dyDescent="0.3">
      <c r="B11" s="7" t="s">
        <v>1247</v>
      </c>
      <c r="C11" s="47">
        <f>'⚙️ PARAMÈTRES'!B4</f>
        <v>0.1</v>
      </c>
    </row>
    <row r="12" spans="1:3" ht="27.75" customHeight="1" x14ac:dyDescent="0.3">
      <c r="B12" s="2" t="s">
        <v>1248</v>
      </c>
      <c r="C12" s="47">
        <f>'⚙️ PARAMÈTRES'!B5</f>
        <v>1.4999999999999999E-2</v>
      </c>
    </row>
    <row r="13" spans="1:3" ht="27.75" customHeight="1" x14ac:dyDescent="0.3">
      <c r="B13" s="7" t="s">
        <v>1249</v>
      </c>
      <c r="C13" s="45" t="str">
        <f>IF(B3="","",IFERROR(VLOOKUP(B3,'🏦 PRÊTS'!A:K,11,0),""))</f>
        <v/>
      </c>
    </row>
    <row r="14" spans="1:3" ht="27.75" customHeight="1" x14ac:dyDescent="0.3">
      <c r="B14" s="2" t="s">
        <v>1250</v>
      </c>
      <c r="C14" s="46" t="str">
        <f>IF(B3="","",IFERROR(VLOOKUP(B3,'🏦 PRÊTS'!A:O,15,0),""))</f>
        <v/>
      </c>
    </row>
    <row r="15" spans="1:3" ht="27.75" customHeight="1" x14ac:dyDescent="0.3">
      <c r="B15" s="7" t="s">
        <v>1251</v>
      </c>
      <c r="C15" s="44" t="str">
        <f>IF(B3="","",IFERROR(VLOOKUP(B3,'🏦 PRÊTS'!A:H,8,0),""))</f>
        <v/>
      </c>
    </row>
    <row r="16" spans="1:3" ht="27.75" customHeight="1" x14ac:dyDescent="0.3">
      <c r="B16" s="2" t="s">
        <v>1252</v>
      </c>
      <c r="C16" s="44" t="str">
        <f>IF(B3="","",IFERROR(VLOOKUP(B3,'🏦 PRÊTS'!A:I,9,0),""))</f>
        <v/>
      </c>
    </row>
    <row r="17" spans="2:3" ht="27.75" customHeight="1" x14ac:dyDescent="0.3">
      <c r="B17" s="7" t="s">
        <v>1253</v>
      </c>
      <c r="C17" s="44" t="str">
        <f>IF(B3="","",IFERROR(VLOOKUP(B3,'🏦 PRÊTS'!A:J,10,0),""))</f>
        <v/>
      </c>
    </row>
    <row r="18" spans="2:3" ht="27.75" customHeight="1" x14ac:dyDescent="0.3">
      <c r="B18" s="2" t="s">
        <v>1254</v>
      </c>
      <c r="C18" s="44" t="str">
        <f>IF(B3="","",IFERROR(VLOOKUP(B3,'🏦 PRÊTS'!A:R,18,0),""))</f>
        <v/>
      </c>
    </row>
    <row r="20" spans="2:3" ht="19.5" customHeight="1" x14ac:dyDescent="0.3"/>
    <row r="21" spans="2:3" ht="60" customHeight="1" x14ac:dyDescent="0.3">
      <c r="B21" s="48" t="s">
        <v>1255</v>
      </c>
      <c r="C21" s="69" t="s">
        <v>1256</v>
      </c>
    </row>
  </sheetData>
  <mergeCells count="3">
    <mergeCell ref="A1:C1"/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L72"/>
  <sheetViews>
    <sheetView showGridLines="0" tabSelected="1" zoomScale="90" zoomScaleNormal="90" workbookViewId="0">
      <pane ySplit="3" topLeftCell="A4" activePane="bottomLeft" state="frozen"/>
      <selection pane="bottomLeft" activeCell="F7" sqref="F7"/>
    </sheetView>
  </sheetViews>
  <sheetFormatPr baseColWidth="10" defaultColWidth="8.6640625" defaultRowHeight="14.4" x14ac:dyDescent="0.3"/>
  <cols>
    <col min="1" max="12" width="18" customWidth="1"/>
  </cols>
  <sheetData>
    <row r="1" spans="1:12" ht="45" customHeight="1" x14ac:dyDescent="0.3">
      <c r="A1" s="71" t="s">
        <v>1257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9.5" customHeight="1" x14ac:dyDescent="0.3">
      <c r="A2" s="72" t="e">
        <f ca="1">"Mis à jour le "&amp;TEXT(TODAY(),"DD/MM/YYYY")&amp;" | Exercice "&amp;'⚙️ PARAMÈTRES'!B13</f>
        <v>#VALUE!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spans="1:12" ht="30" customHeight="1" x14ac:dyDescent="0.3">
      <c r="A4" s="73" t="s">
        <v>1258</v>
      </c>
      <c r="B4" s="73"/>
      <c r="C4" s="73"/>
      <c r="D4" s="74" t="s">
        <v>1259</v>
      </c>
      <c r="E4" s="74"/>
      <c r="F4" s="74"/>
      <c r="G4" s="75" t="s">
        <v>1260</v>
      </c>
      <c r="H4" s="75"/>
      <c r="I4" s="75"/>
      <c r="J4" s="76" t="s">
        <v>1261</v>
      </c>
      <c r="K4" s="76"/>
      <c r="L4" s="76"/>
    </row>
    <row r="5" spans="1:12" ht="39.75" customHeight="1" x14ac:dyDescent="0.3">
      <c r="A5" s="77">
        <f>IFERROR('🏧 CAISSE'!G503,0)</f>
        <v>0</v>
      </c>
      <c r="B5" s="77"/>
      <c r="C5" s="77"/>
      <c r="D5" s="78">
        <f>IFERROR(SUM('💰 COTISATIONS'!BE4:BE53),0)</f>
        <v>0</v>
      </c>
      <c r="E5" s="78"/>
      <c r="F5" s="78"/>
      <c r="G5" s="79">
        <f>IFERROR(SUM('🏦 PRÊTS'!F4:F63),0)</f>
        <v>0</v>
      </c>
      <c r="H5" s="79"/>
      <c r="I5" s="79"/>
      <c r="J5" s="80">
        <f ca="1">IFERROR(SUM('🏦 PRÊTS'!L4:L63)+SUM('🏦 PRÊTS'!M4:M63)+SUM('🏦 PRÊTS'!N4:N63),0)</f>
        <v>0</v>
      </c>
      <c r="K5" s="80"/>
      <c r="L5" s="80"/>
    </row>
    <row r="6" spans="1:12" ht="4.5" customHeight="1" x14ac:dyDescent="0.3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</row>
    <row r="8" spans="1:12" ht="7.5" customHeight="1" x14ac:dyDescent="0.3"/>
    <row r="9" spans="1:12" ht="30" customHeight="1" x14ac:dyDescent="0.3">
      <c r="A9" s="82" t="s">
        <v>1262</v>
      </c>
      <c r="B9" s="82"/>
      <c r="C9" s="82"/>
      <c r="D9" s="83" t="s">
        <v>1263</v>
      </c>
      <c r="E9" s="83"/>
      <c r="F9" s="83"/>
      <c r="G9" s="84" t="s">
        <v>1264</v>
      </c>
      <c r="H9" s="84"/>
      <c r="I9" s="84"/>
      <c r="J9" s="85" t="s">
        <v>1265</v>
      </c>
      <c r="K9" s="85"/>
      <c r="L9" s="85"/>
    </row>
    <row r="10" spans="1:12" ht="39.75" customHeight="1" x14ac:dyDescent="0.3">
      <c r="A10" s="86">
        <f>COUNTIF('👥 MEMBRES'!J5:J54,"Actif")</f>
        <v>50</v>
      </c>
      <c r="B10" s="86"/>
      <c r="C10" s="86"/>
      <c r="D10" s="87">
        <f>'⚙️ PARAMÈTRES'!B4</f>
        <v>0.1</v>
      </c>
      <c r="E10" s="87"/>
      <c r="F10" s="87"/>
      <c r="G10" s="88">
        <f>IFERROR('⚠️ PÉNALITÉS'!I304,0)</f>
        <v>0</v>
      </c>
      <c r="H10" s="88"/>
      <c r="I10" s="88"/>
      <c r="J10" s="89">
        <f>IFERROR(SUM('🏦 PRÊTS'!Q4:Q63),0)</f>
        <v>0</v>
      </c>
      <c r="K10" s="89"/>
      <c r="L10" s="89"/>
    </row>
    <row r="11" spans="1:12" ht="4.5" customHeight="1" x14ac:dyDescent="0.3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5" spans="1:12" ht="12" customHeight="1" x14ac:dyDescent="0.3"/>
    <row r="16" spans="1:12" ht="30" customHeight="1" x14ac:dyDescent="0.3">
      <c r="A16" s="91" t="s">
        <v>1266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</row>
    <row r="17" spans="1:9" ht="27.75" customHeight="1" x14ac:dyDescent="0.3">
      <c r="A17" s="49" t="s">
        <v>1267</v>
      </c>
      <c r="B17" s="49" t="s">
        <v>42</v>
      </c>
      <c r="C17" s="49" t="s">
        <v>43</v>
      </c>
      <c r="D17" s="49" t="s">
        <v>44</v>
      </c>
      <c r="E17" s="49" t="s">
        <v>1268</v>
      </c>
      <c r="F17" s="49" t="s">
        <v>1269</v>
      </c>
      <c r="G17" s="49" t="s">
        <v>1270</v>
      </c>
      <c r="H17" s="49" t="s">
        <v>1271</v>
      </c>
      <c r="I17" s="49" t="s">
        <v>51</v>
      </c>
    </row>
    <row r="18" spans="1:9" ht="19.5" customHeight="1" x14ac:dyDescent="0.3">
      <c r="A18" s="50">
        <v>1</v>
      </c>
      <c r="B18" s="51" t="str">
        <f>'📋 SOLDE MEMBRES'!B4</f>
        <v>TSP-2027-001</v>
      </c>
      <c r="C18" s="51">
        <f>'📋 SOLDE MEMBRES'!C4</f>
        <v>0</v>
      </c>
      <c r="D18" s="51">
        <f>'📋 SOLDE MEMBRES'!D4</f>
        <v>0</v>
      </c>
      <c r="E18" s="52">
        <f>'📋 SOLDE MEMBRES'!E4</f>
        <v>0</v>
      </c>
      <c r="F18" s="52">
        <f>'📋 SOLDE MEMBRES'!F4</f>
        <v>0</v>
      </c>
      <c r="G18" s="52">
        <f>'📋 SOLDE MEMBRES'!G4</f>
        <v>0</v>
      </c>
      <c r="H18" s="52">
        <f>'📋 SOLDE MEMBRES'!H4</f>
        <v>0</v>
      </c>
      <c r="I18" s="51" t="str">
        <f>'📋 SOLDE MEMBRES'!I4</f>
        <v>✅ À jour</v>
      </c>
    </row>
    <row r="19" spans="1:9" ht="19.5" customHeight="1" x14ac:dyDescent="0.3">
      <c r="A19" s="53">
        <v>2</v>
      </c>
      <c r="B19" s="54" t="str">
        <f>'📋 SOLDE MEMBRES'!B5</f>
        <v>TSP-2027-002</v>
      </c>
      <c r="C19" s="54">
        <f>'📋 SOLDE MEMBRES'!C5</f>
        <v>0</v>
      </c>
      <c r="D19" s="54">
        <f>'📋 SOLDE MEMBRES'!D5</f>
        <v>0</v>
      </c>
      <c r="E19" s="55">
        <f>'📋 SOLDE MEMBRES'!E5</f>
        <v>0</v>
      </c>
      <c r="F19" s="55">
        <f>'📋 SOLDE MEMBRES'!F5</f>
        <v>0</v>
      </c>
      <c r="G19" s="55">
        <f>'📋 SOLDE MEMBRES'!G5</f>
        <v>0</v>
      </c>
      <c r="H19" s="55">
        <f>'📋 SOLDE MEMBRES'!H5</f>
        <v>0</v>
      </c>
      <c r="I19" s="54" t="str">
        <f>'📋 SOLDE MEMBRES'!I5</f>
        <v>✅ À jour</v>
      </c>
    </row>
    <row r="20" spans="1:9" ht="19.5" customHeight="1" x14ac:dyDescent="0.3">
      <c r="A20" s="50">
        <v>3</v>
      </c>
      <c r="B20" s="51" t="str">
        <f>'📋 SOLDE MEMBRES'!B6</f>
        <v>TSP-2027-003</v>
      </c>
      <c r="C20" s="51">
        <f>'📋 SOLDE MEMBRES'!C6</f>
        <v>0</v>
      </c>
      <c r="D20" s="51">
        <f>'📋 SOLDE MEMBRES'!D6</f>
        <v>0</v>
      </c>
      <c r="E20" s="52">
        <f>'📋 SOLDE MEMBRES'!E6</f>
        <v>0</v>
      </c>
      <c r="F20" s="52">
        <f>'📋 SOLDE MEMBRES'!F6</f>
        <v>0</v>
      </c>
      <c r="G20" s="52">
        <f>'📋 SOLDE MEMBRES'!G6</f>
        <v>0</v>
      </c>
      <c r="H20" s="52">
        <f>'📋 SOLDE MEMBRES'!H6</f>
        <v>0</v>
      </c>
      <c r="I20" s="51" t="str">
        <f>'📋 SOLDE MEMBRES'!I6</f>
        <v>✅ À jour</v>
      </c>
    </row>
    <row r="21" spans="1:9" ht="19.5" customHeight="1" x14ac:dyDescent="0.3">
      <c r="A21" s="53">
        <v>4</v>
      </c>
      <c r="B21" s="54" t="str">
        <f>'📋 SOLDE MEMBRES'!B7</f>
        <v>TSP-2027-004</v>
      </c>
      <c r="C21" s="54">
        <f>'📋 SOLDE MEMBRES'!C7</f>
        <v>0</v>
      </c>
      <c r="D21" s="54">
        <f>'📋 SOLDE MEMBRES'!D7</f>
        <v>0</v>
      </c>
      <c r="E21" s="55">
        <f>'📋 SOLDE MEMBRES'!E7</f>
        <v>0</v>
      </c>
      <c r="F21" s="55">
        <f>'📋 SOLDE MEMBRES'!F7</f>
        <v>0</v>
      </c>
      <c r="G21" s="55">
        <f>'📋 SOLDE MEMBRES'!G7</f>
        <v>0</v>
      </c>
      <c r="H21" s="55">
        <f>'📋 SOLDE MEMBRES'!H7</f>
        <v>0</v>
      </c>
      <c r="I21" s="54" t="str">
        <f>'📋 SOLDE MEMBRES'!I7</f>
        <v>✅ À jour</v>
      </c>
    </row>
    <row r="22" spans="1:9" ht="19.5" customHeight="1" x14ac:dyDescent="0.3">
      <c r="A22" s="50">
        <v>5</v>
      </c>
      <c r="B22" s="51" t="str">
        <f>'📋 SOLDE MEMBRES'!B8</f>
        <v>TSP-2027-005</v>
      </c>
      <c r="C22" s="51">
        <f>'📋 SOLDE MEMBRES'!C8</f>
        <v>0</v>
      </c>
      <c r="D22" s="51">
        <f>'📋 SOLDE MEMBRES'!D8</f>
        <v>0</v>
      </c>
      <c r="E22" s="52">
        <f>'📋 SOLDE MEMBRES'!E8</f>
        <v>0</v>
      </c>
      <c r="F22" s="52">
        <f>'📋 SOLDE MEMBRES'!F8</f>
        <v>0</v>
      </c>
      <c r="G22" s="52">
        <f>'📋 SOLDE MEMBRES'!G8</f>
        <v>0</v>
      </c>
      <c r="H22" s="52">
        <f>'📋 SOLDE MEMBRES'!H8</f>
        <v>0</v>
      </c>
      <c r="I22" s="51" t="str">
        <f>'📋 SOLDE MEMBRES'!I8</f>
        <v>✅ À jour</v>
      </c>
    </row>
    <row r="23" spans="1:9" ht="19.5" customHeight="1" x14ac:dyDescent="0.3">
      <c r="A23" s="53">
        <v>6</v>
      </c>
      <c r="B23" s="54" t="str">
        <f>'📋 SOLDE MEMBRES'!B9</f>
        <v>TSP-2027-006</v>
      </c>
      <c r="C23" s="54">
        <f>'📋 SOLDE MEMBRES'!C9</f>
        <v>0</v>
      </c>
      <c r="D23" s="54">
        <f>'📋 SOLDE MEMBRES'!D9</f>
        <v>0</v>
      </c>
      <c r="E23" s="55">
        <f>'📋 SOLDE MEMBRES'!E9</f>
        <v>0</v>
      </c>
      <c r="F23" s="55">
        <f>'📋 SOLDE MEMBRES'!F9</f>
        <v>0</v>
      </c>
      <c r="G23" s="55">
        <f>'📋 SOLDE MEMBRES'!G9</f>
        <v>0</v>
      </c>
      <c r="H23" s="55">
        <f>'📋 SOLDE MEMBRES'!H9</f>
        <v>0</v>
      </c>
      <c r="I23" s="54" t="str">
        <f>'📋 SOLDE MEMBRES'!I9</f>
        <v>✅ À jour</v>
      </c>
    </row>
    <row r="24" spans="1:9" ht="19.5" customHeight="1" x14ac:dyDescent="0.3">
      <c r="A24" s="50">
        <v>7</v>
      </c>
      <c r="B24" s="51" t="str">
        <f>'📋 SOLDE MEMBRES'!B10</f>
        <v>TSP-2027-007</v>
      </c>
      <c r="C24" s="51">
        <f>'📋 SOLDE MEMBRES'!C10</f>
        <v>0</v>
      </c>
      <c r="D24" s="51">
        <f>'📋 SOLDE MEMBRES'!D10</f>
        <v>0</v>
      </c>
      <c r="E24" s="52">
        <f>'📋 SOLDE MEMBRES'!E10</f>
        <v>0</v>
      </c>
      <c r="F24" s="52">
        <f>'📋 SOLDE MEMBRES'!F10</f>
        <v>0</v>
      </c>
      <c r="G24" s="52">
        <f>'📋 SOLDE MEMBRES'!G10</f>
        <v>0</v>
      </c>
      <c r="H24" s="52">
        <f>'📋 SOLDE MEMBRES'!H10</f>
        <v>0</v>
      </c>
      <c r="I24" s="51" t="str">
        <f>'📋 SOLDE MEMBRES'!I10</f>
        <v>✅ À jour</v>
      </c>
    </row>
    <row r="25" spans="1:9" ht="19.5" customHeight="1" x14ac:dyDescent="0.3">
      <c r="A25" s="53">
        <v>8</v>
      </c>
      <c r="B25" s="54" t="str">
        <f>'📋 SOLDE MEMBRES'!B11</f>
        <v>TSP-2027-008</v>
      </c>
      <c r="C25" s="54">
        <f>'📋 SOLDE MEMBRES'!C11</f>
        <v>0</v>
      </c>
      <c r="D25" s="54">
        <f>'📋 SOLDE MEMBRES'!D11</f>
        <v>0</v>
      </c>
      <c r="E25" s="55">
        <f>'📋 SOLDE MEMBRES'!E11</f>
        <v>0</v>
      </c>
      <c r="F25" s="55">
        <f>'📋 SOLDE MEMBRES'!F11</f>
        <v>0</v>
      </c>
      <c r="G25" s="55">
        <f>'📋 SOLDE MEMBRES'!G11</f>
        <v>0</v>
      </c>
      <c r="H25" s="55">
        <f>'📋 SOLDE MEMBRES'!H11</f>
        <v>0</v>
      </c>
      <c r="I25" s="54" t="str">
        <f>'📋 SOLDE MEMBRES'!I11</f>
        <v>✅ À jour</v>
      </c>
    </row>
    <row r="26" spans="1:9" ht="19.5" customHeight="1" x14ac:dyDescent="0.3">
      <c r="A26" s="50">
        <v>9</v>
      </c>
      <c r="B26" s="51" t="str">
        <f>'📋 SOLDE MEMBRES'!B12</f>
        <v>TSP-2027-009</v>
      </c>
      <c r="C26" s="51">
        <f>'📋 SOLDE MEMBRES'!C12</f>
        <v>0</v>
      </c>
      <c r="D26" s="51">
        <f>'📋 SOLDE MEMBRES'!D12</f>
        <v>0</v>
      </c>
      <c r="E26" s="52">
        <f>'📋 SOLDE MEMBRES'!E12</f>
        <v>0</v>
      </c>
      <c r="F26" s="52">
        <f>'📋 SOLDE MEMBRES'!F12</f>
        <v>0</v>
      </c>
      <c r="G26" s="52">
        <f>'📋 SOLDE MEMBRES'!G12</f>
        <v>0</v>
      </c>
      <c r="H26" s="52">
        <f>'📋 SOLDE MEMBRES'!H12</f>
        <v>0</v>
      </c>
      <c r="I26" s="51" t="str">
        <f>'📋 SOLDE MEMBRES'!I12</f>
        <v>✅ À jour</v>
      </c>
    </row>
    <row r="27" spans="1:9" ht="19.5" customHeight="1" x14ac:dyDescent="0.3">
      <c r="A27" s="53">
        <v>10</v>
      </c>
      <c r="B27" s="54" t="str">
        <f>'📋 SOLDE MEMBRES'!B13</f>
        <v>TSP-2027-010</v>
      </c>
      <c r="C27" s="54">
        <f>'📋 SOLDE MEMBRES'!C13</f>
        <v>0</v>
      </c>
      <c r="D27" s="54">
        <f>'📋 SOLDE MEMBRES'!D13</f>
        <v>0</v>
      </c>
      <c r="E27" s="55">
        <f>'📋 SOLDE MEMBRES'!E13</f>
        <v>0</v>
      </c>
      <c r="F27" s="55">
        <f>'📋 SOLDE MEMBRES'!F13</f>
        <v>0</v>
      </c>
      <c r="G27" s="55">
        <f>'📋 SOLDE MEMBRES'!G13</f>
        <v>0</v>
      </c>
      <c r="H27" s="55">
        <f>'📋 SOLDE MEMBRES'!H13</f>
        <v>0</v>
      </c>
      <c r="I27" s="54" t="str">
        <f>'📋 SOLDE MEMBRES'!I13</f>
        <v>✅ À jour</v>
      </c>
    </row>
    <row r="28" spans="1:9" ht="19.5" customHeight="1" x14ac:dyDescent="0.3">
      <c r="A28" s="50">
        <v>11</v>
      </c>
      <c r="B28" s="51" t="str">
        <f>'📋 SOLDE MEMBRES'!B14</f>
        <v>TSP-2027-011</v>
      </c>
      <c r="C28" s="51">
        <f>'📋 SOLDE MEMBRES'!C14</f>
        <v>0</v>
      </c>
      <c r="D28" s="51">
        <f>'📋 SOLDE MEMBRES'!D14</f>
        <v>0</v>
      </c>
      <c r="E28" s="52">
        <f>'📋 SOLDE MEMBRES'!E14</f>
        <v>0</v>
      </c>
      <c r="F28" s="52">
        <f>'📋 SOLDE MEMBRES'!F14</f>
        <v>0</v>
      </c>
      <c r="G28" s="52">
        <f>'📋 SOLDE MEMBRES'!G14</f>
        <v>0</v>
      </c>
      <c r="H28" s="52">
        <f>'📋 SOLDE MEMBRES'!H14</f>
        <v>0</v>
      </c>
      <c r="I28" s="51" t="str">
        <f>'📋 SOLDE MEMBRES'!I14</f>
        <v>✅ À jour</v>
      </c>
    </row>
    <row r="29" spans="1:9" ht="19.5" customHeight="1" x14ac:dyDescent="0.3">
      <c r="A29" s="53">
        <v>12</v>
      </c>
      <c r="B29" s="54" t="str">
        <f>'📋 SOLDE MEMBRES'!B15</f>
        <v>TSP-2027-012</v>
      </c>
      <c r="C29" s="54">
        <f>'📋 SOLDE MEMBRES'!C15</f>
        <v>0</v>
      </c>
      <c r="D29" s="54">
        <f>'📋 SOLDE MEMBRES'!D15</f>
        <v>0</v>
      </c>
      <c r="E29" s="55">
        <f>'📋 SOLDE MEMBRES'!E15</f>
        <v>0</v>
      </c>
      <c r="F29" s="55">
        <f>'📋 SOLDE MEMBRES'!F15</f>
        <v>0</v>
      </c>
      <c r="G29" s="55">
        <f>'📋 SOLDE MEMBRES'!G15</f>
        <v>0</v>
      </c>
      <c r="H29" s="55">
        <f>'📋 SOLDE MEMBRES'!H15</f>
        <v>0</v>
      </c>
      <c r="I29" s="54" t="str">
        <f>'📋 SOLDE MEMBRES'!I15</f>
        <v>✅ À jour</v>
      </c>
    </row>
    <row r="30" spans="1:9" ht="19.5" customHeight="1" x14ac:dyDescent="0.3">
      <c r="A30" s="50">
        <v>13</v>
      </c>
      <c r="B30" s="51" t="str">
        <f>'📋 SOLDE MEMBRES'!B16</f>
        <v>TSP-2027-013</v>
      </c>
      <c r="C30" s="51">
        <f>'📋 SOLDE MEMBRES'!C16</f>
        <v>0</v>
      </c>
      <c r="D30" s="51">
        <f>'📋 SOLDE MEMBRES'!D16</f>
        <v>0</v>
      </c>
      <c r="E30" s="52">
        <f>'📋 SOLDE MEMBRES'!E16</f>
        <v>0</v>
      </c>
      <c r="F30" s="52">
        <f>'📋 SOLDE MEMBRES'!F16</f>
        <v>0</v>
      </c>
      <c r="G30" s="52">
        <f>'📋 SOLDE MEMBRES'!G16</f>
        <v>0</v>
      </c>
      <c r="H30" s="52">
        <f>'📋 SOLDE MEMBRES'!H16</f>
        <v>0</v>
      </c>
      <c r="I30" s="51" t="str">
        <f>'📋 SOLDE MEMBRES'!I16</f>
        <v>✅ À jour</v>
      </c>
    </row>
    <row r="31" spans="1:9" ht="19.5" customHeight="1" x14ac:dyDescent="0.3">
      <c r="A31" s="53">
        <v>14</v>
      </c>
      <c r="B31" s="54" t="str">
        <f>'📋 SOLDE MEMBRES'!B17</f>
        <v>TSP-2027-014</v>
      </c>
      <c r="C31" s="54">
        <f>'📋 SOLDE MEMBRES'!C17</f>
        <v>0</v>
      </c>
      <c r="D31" s="54">
        <f>'📋 SOLDE MEMBRES'!D17</f>
        <v>0</v>
      </c>
      <c r="E31" s="55">
        <f>'📋 SOLDE MEMBRES'!E17</f>
        <v>0</v>
      </c>
      <c r="F31" s="55">
        <f>'📋 SOLDE MEMBRES'!F17</f>
        <v>0</v>
      </c>
      <c r="G31" s="55">
        <f>'📋 SOLDE MEMBRES'!G17</f>
        <v>0</v>
      </c>
      <c r="H31" s="55">
        <f>'📋 SOLDE MEMBRES'!H17</f>
        <v>0</v>
      </c>
      <c r="I31" s="54" t="str">
        <f>'📋 SOLDE MEMBRES'!I17</f>
        <v>✅ À jour</v>
      </c>
    </row>
    <row r="32" spans="1:9" ht="19.5" customHeight="1" x14ac:dyDescent="0.3">
      <c r="A32" s="50">
        <v>15</v>
      </c>
      <c r="B32" s="51" t="str">
        <f>'📋 SOLDE MEMBRES'!B18</f>
        <v>TSP-2027-015</v>
      </c>
      <c r="C32" s="51">
        <f>'📋 SOLDE MEMBRES'!C18</f>
        <v>0</v>
      </c>
      <c r="D32" s="51">
        <f>'📋 SOLDE MEMBRES'!D18</f>
        <v>0</v>
      </c>
      <c r="E32" s="52">
        <f>'📋 SOLDE MEMBRES'!E18</f>
        <v>0</v>
      </c>
      <c r="F32" s="52">
        <f>'📋 SOLDE MEMBRES'!F18</f>
        <v>0</v>
      </c>
      <c r="G32" s="52">
        <f>'📋 SOLDE MEMBRES'!G18</f>
        <v>0</v>
      </c>
      <c r="H32" s="52">
        <f>'📋 SOLDE MEMBRES'!H18</f>
        <v>0</v>
      </c>
      <c r="I32" s="51" t="str">
        <f>'📋 SOLDE MEMBRES'!I18</f>
        <v>✅ À jour</v>
      </c>
    </row>
    <row r="33" spans="1:9" ht="19.5" customHeight="1" x14ac:dyDescent="0.3">
      <c r="A33" s="53">
        <v>16</v>
      </c>
      <c r="B33" s="54" t="str">
        <f>'📋 SOLDE MEMBRES'!B19</f>
        <v>TSP-2027-016</v>
      </c>
      <c r="C33" s="54">
        <f>'📋 SOLDE MEMBRES'!C19</f>
        <v>0</v>
      </c>
      <c r="D33" s="54">
        <f>'📋 SOLDE MEMBRES'!D19</f>
        <v>0</v>
      </c>
      <c r="E33" s="55">
        <f>'📋 SOLDE MEMBRES'!E19</f>
        <v>0</v>
      </c>
      <c r="F33" s="55">
        <f>'📋 SOLDE MEMBRES'!F19</f>
        <v>0</v>
      </c>
      <c r="G33" s="55">
        <f>'📋 SOLDE MEMBRES'!G19</f>
        <v>0</v>
      </c>
      <c r="H33" s="55">
        <f>'📋 SOLDE MEMBRES'!H19</f>
        <v>0</v>
      </c>
      <c r="I33" s="54" t="str">
        <f>'📋 SOLDE MEMBRES'!I19</f>
        <v>✅ À jour</v>
      </c>
    </row>
    <row r="34" spans="1:9" ht="19.5" customHeight="1" x14ac:dyDescent="0.3">
      <c r="A34" s="50">
        <v>17</v>
      </c>
      <c r="B34" s="51" t="str">
        <f>'📋 SOLDE MEMBRES'!B20</f>
        <v>TSP-2027-017</v>
      </c>
      <c r="C34" s="51">
        <f>'📋 SOLDE MEMBRES'!C20</f>
        <v>0</v>
      </c>
      <c r="D34" s="51">
        <f>'📋 SOLDE MEMBRES'!D20</f>
        <v>0</v>
      </c>
      <c r="E34" s="52">
        <f>'📋 SOLDE MEMBRES'!E20</f>
        <v>0</v>
      </c>
      <c r="F34" s="52">
        <f>'📋 SOLDE MEMBRES'!F20</f>
        <v>0</v>
      </c>
      <c r="G34" s="52">
        <f>'📋 SOLDE MEMBRES'!G20</f>
        <v>0</v>
      </c>
      <c r="H34" s="52">
        <f>'📋 SOLDE MEMBRES'!H20</f>
        <v>0</v>
      </c>
      <c r="I34" s="51" t="str">
        <f>'📋 SOLDE MEMBRES'!I20</f>
        <v>✅ À jour</v>
      </c>
    </row>
    <row r="35" spans="1:9" ht="19.5" customHeight="1" x14ac:dyDescent="0.3">
      <c r="A35" s="53">
        <v>18</v>
      </c>
      <c r="B35" s="54" t="str">
        <f>'📋 SOLDE MEMBRES'!B21</f>
        <v>TSP-2027-018</v>
      </c>
      <c r="C35" s="54">
        <f>'📋 SOLDE MEMBRES'!C21</f>
        <v>0</v>
      </c>
      <c r="D35" s="54">
        <f>'📋 SOLDE MEMBRES'!D21</f>
        <v>0</v>
      </c>
      <c r="E35" s="55">
        <f>'📋 SOLDE MEMBRES'!E21</f>
        <v>0</v>
      </c>
      <c r="F35" s="55">
        <f>'📋 SOLDE MEMBRES'!F21</f>
        <v>0</v>
      </c>
      <c r="G35" s="55">
        <f>'📋 SOLDE MEMBRES'!G21</f>
        <v>0</v>
      </c>
      <c r="H35" s="55">
        <f>'📋 SOLDE MEMBRES'!H21</f>
        <v>0</v>
      </c>
      <c r="I35" s="54" t="str">
        <f>'📋 SOLDE MEMBRES'!I21</f>
        <v>✅ À jour</v>
      </c>
    </row>
    <row r="36" spans="1:9" ht="19.5" customHeight="1" x14ac:dyDescent="0.3">
      <c r="A36" s="50">
        <v>19</v>
      </c>
      <c r="B36" s="51" t="str">
        <f>'📋 SOLDE MEMBRES'!B22</f>
        <v>TSP-2027-019</v>
      </c>
      <c r="C36" s="51">
        <f>'📋 SOLDE MEMBRES'!C22</f>
        <v>0</v>
      </c>
      <c r="D36" s="51">
        <f>'📋 SOLDE MEMBRES'!D22</f>
        <v>0</v>
      </c>
      <c r="E36" s="52">
        <f>'📋 SOLDE MEMBRES'!E22</f>
        <v>0</v>
      </c>
      <c r="F36" s="52">
        <f>'📋 SOLDE MEMBRES'!F22</f>
        <v>0</v>
      </c>
      <c r="G36" s="52">
        <f>'📋 SOLDE MEMBRES'!G22</f>
        <v>0</v>
      </c>
      <c r="H36" s="52">
        <f>'📋 SOLDE MEMBRES'!H22</f>
        <v>0</v>
      </c>
      <c r="I36" s="51" t="str">
        <f>'📋 SOLDE MEMBRES'!I22</f>
        <v>✅ À jour</v>
      </c>
    </row>
    <row r="37" spans="1:9" ht="19.5" customHeight="1" x14ac:dyDescent="0.3">
      <c r="A37" s="53">
        <v>20</v>
      </c>
      <c r="B37" s="54" t="str">
        <f>'📋 SOLDE MEMBRES'!B23</f>
        <v>TSP-2027-020</v>
      </c>
      <c r="C37" s="54">
        <f>'📋 SOLDE MEMBRES'!C23</f>
        <v>0</v>
      </c>
      <c r="D37" s="54">
        <f>'📋 SOLDE MEMBRES'!D23</f>
        <v>0</v>
      </c>
      <c r="E37" s="55">
        <f>'📋 SOLDE MEMBRES'!E23</f>
        <v>0</v>
      </c>
      <c r="F37" s="55">
        <f>'📋 SOLDE MEMBRES'!F23</f>
        <v>0</v>
      </c>
      <c r="G37" s="55">
        <f>'📋 SOLDE MEMBRES'!G23</f>
        <v>0</v>
      </c>
      <c r="H37" s="55">
        <f>'📋 SOLDE MEMBRES'!H23</f>
        <v>0</v>
      </c>
      <c r="I37" s="54" t="str">
        <f>'📋 SOLDE MEMBRES'!I23</f>
        <v>✅ À jour</v>
      </c>
    </row>
    <row r="38" spans="1:9" ht="19.5" customHeight="1" x14ac:dyDescent="0.3">
      <c r="A38" s="50">
        <v>21</v>
      </c>
      <c r="B38" s="51" t="str">
        <f>'📋 SOLDE MEMBRES'!B24</f>
        <v>TSP-2027-021</v>
      </c>
      <c r="C38" s="51">
        <f>'📋 SOLDE MEMBRES'!C24</f>
        <v>0</v>
      </c>
      <c r="D38" s="51">
        <f>'📋 SOLDE MEMBRES'!D24</f>
        <v>0</v>
      </c>
      <c r="E38" s="52">
        <f>'📋 SOLDE MEMBRES'!E24</f>
        <v>0</v>
      </c>
      <c r="F38" s="52">
        <f>'📋 SOLDE MEMBRES'!F24</f>
        <v>0</v>
      </c>
      <c r="G38" s="52">
        <f>'📋 SOLDE MEMBRES'!G24</f>
        <v>0</v>
      </c>
      <c r="H38" s="52">
        <f>'📋 SOLDE MEMBRES'!H24</f>
        <v>0</v>
      </c>
      <c r="I38" s="51" t="str">
        <f>'📋 SOLDE MEMBRES'!I24</f>
        <v>✅ À jour</v>
      </c>
    </row>
    <row r="39" spans="1:9" ht="19.5" customHeight="1" x14ac:dyDescent="0.3">
      <c r="A39" s="53">
        <v>22</v>
      </c>
      <c r="B39" s="54" t="str">
        <f>'📋 SOLDE MEMBRES'!B25</f>
        <v>TSP-2027-022</v>
      </c>
      <c r="C39" s="54">
        <f>'📋 SOLDE MEMBRES'!C25</f>
        <v>0</v>
      </c>
      <c r="D39" s="54">
        <f>'📋 SOLDE MEMBRES'!D25</f>
        <v>0</v>
      </c>
      <c r="E39" s="55">
        <f>'📋 SOLDE MEMBRES'!E25</f>
        <v>0</v>
      </c>
      <c r="F39" s="55">
        <f>'📋 SOLDE MEMBRES'!F25</f>
        <v>0</v>
      </c>
      <c r="G39" s="55">
        <f>'📋 SOLDE MEMBRES'!G25</f>
        <v>0</v>
      </c>
      <c r="H39" s="55">
        <f>'📋 SOLDE MEMBRES'!H25</f>
        <v>0</v>
      </c>
      <c r="I39" s="54" t="str">
        <f>'📋 SOLDE MEMBRES'!I25</f>
        <v>✅ À jour</v>
      </c>
    </row>
    <row r="40" spans="1:9" ht="19.5" customHeight="1" x14ac:dyDescent="0.3">
      <c r="A40" s="50">
        <v>23</v>
      </c>
      <c r="B40" s="51" t="str">
        <f>'📋 SOLDE MEMBRES'!B26</f>
        <v>TSP-2027-023</v>
      </c>
      <c r="C40" s="51">
        <f>'📋 SOLDE MEMBRES'!C26</f>
        <v>0</v>
      </c>
      <c r="D40" s="51">
        <f>'📋 SOLDE MEMBRES'!D26</f>
        <v>0</v>
      </c>
      <c r="E40" s="52">
        <f>'📋 SOLDE MEMBRES'!E26</f>
        <v>0</v>
      </c>
      <c r="F40" s="52">
        <f>'📋 SOLDE MEMBRES'!F26</f>
        <v>0</v>
      </c>
      <c r="G40" s="52">
        <f>'📋 SOLDE MEMBRES'!G26</f>
        <v>0</v>
      </c>
      <c r="H40" s="52">
        <f>'📋 SOLDE MEMBRES'!H26</f>
        <v>0</v>
      </c>
      <c r="I40" s="51" t="str">
        <f>'📋 SOLDE MEMBRES'!I26</f>
        <v>✅ À jour</v>
      </c>
    </row>
    <row r="41" spans="1:9" ht="19.5" customHeight="1" x14ac:dyDescent="0.3">
      <c r="A41" s="53">
        <v>24</v>
      </c>
      <c r="B41" s="54" t="str">
        <f>'📋 SOLDE MEMBRES'!B27</f>
        <v>TSP-2027-024</v>
      </c>
      <c r="C41" s="54">
        <f>'📋 SOLDE MEMBRES'!C27</f>
        <v>0</v>
      </c>
      <c r="D41" s="54">
        <f>'📋 SOLDE MEMBRES'!D27</f>
        <v>0</v>
      </c>
      <c r="E41" s="55">
        <f>'📋 SOLDE MEMBRES'!E27</f>
        <v>0</v>
      </c>
      <c r="F41" s="55">
        <f>'📋 SOLDE MEMBRES'!F27</f>
        <v>0</v>
      </c>
      <c r="G41" s="55">
        <f>'📋 SOLDE MEMBRES'!G27</f>
        <v>0</v>
      </c>
      <c r="H41" s="55">
        <f>'📋 SOLDE MEMBRES'!H27</f>
        <v>0</v>
      </c>
      <c r="I41" s="54" t="str">
        <f>'📋 SOLDE MEMBRES'!I27</f>
        <v>✅ À jour</v>
      </c>
    </row>
    <row r="42" spans="1:9" ht="19.5" customHeight="1" x14ac:dyDescent="0.3">
      <c r="A42" s="50">
        <v>25</v>
      </c>
      <c r="B42" s="51" t="str">
        <f>'📋 SOLDE MEMBRES'!B28</f>
        <v>TSP-2027-025</v>
      </c>
      <c r="C42" s="51">
        <f>'📋 SOLDE MEMBRES'!C28</f>
        <v>0</v>
      </c>
      <c r="D42" s="51">
        <f>'📋 SOLDE MEMBRES'!D28</f>
        <v>0</v>
      </c>
      <c r="E42" s="52">
        <f>'📋 SOLDE MEMBRES'!E28</f>
        <v>0</v>
      </c>
      <c r="F42" s="52">
        <f>'📋 SOLDE MEMBRES'!F28</f>
        <v>0</v>
      </c>
      <c r="G42" s="52">
        <f>'📋 SOLDE MEMBRES'!G28</f>
        <v>0</v>
      </c>
      <c r="H42" s="52">
        <f>'📋 SOLDE MEMBRES'!H28</f>
        <v>0</v>
      </c>
      <c r="I42" s="51" t="str">
        <f>'📋 SOLDE MEMBRES'!I28</f>
        <v>✅ À jour</v>
      </c>
    </row>
    <row r="43" spans="1:9" ht="19.5" customHeight="1" x14ac:dyDescent="0.3">
      <c r="A43" s="53">
        <v>26</v>
      </c>
      <c r="B43" s="54" t="str">
        <f>'📋 SOLDE MEMBRES'!B29</f>
        <v>TSP-2027-026</v>
      </c>
      <c r="C43" s="54">
        <f>'📋 SOLDE MEMBRES'!C29</f>
        <v>0</v>
      </c>
      <c r="D43" s="54">
        <f>'📋 SOLDE MEMBRES'!D29</f>
        <v>0</v>
      </c>
      <c r="E43" s="55">
        <f>'📋 SOLDE MEMBRES'!E29</f>
        <v>0</v>
      </c>
      <c r="F43" s="55">
        <f>'📋 SOLDE MEMBRES'!F29</f>
        <v>0</v>
      </c>
      <c r="G43" s="55">
        <f>'📋 SOLDE MEMBRES'!G29</f>
        <v>0</v>
      </c>
      <c r="H43" s="55">
        <f>'📋 SOLDE MEMBRES'!H29</f>
        <v>0</v>
      </c>
      <c r="I43" s="54" t="str">
        <f>'📋 SOLDE MEMBRES'!I29</f>
        <v>✅ À jour</v>
      </c>
    </row>
    <row r="44" spans="1:9" ht="19.5" customHeight="1" x14ac:dyDescent="0.3">
      <c r="A44" s="50">
        <v>27</v>
      </c>
      <c r="B44" s="51" t="str">
        <f>'📋 SOLDE MEMBRES'!B30</f>
        <v>TSP-2027-027</v>
      </c>
      <c r="C44" s="51">
        <f>'📋 SOLDE MEMBRES'!C30</f>
        <v>0</v>
      </c>
      <c r="D44" s="51">
        <f>'📋 SOLDE MEMBRES'!D30</f>
        <v>0</v>
      </c>
      <c r="E44" s="52">
        <f>'📋 SOLDE MEMBRES'!E30</f>
        <v>0</v>
      </c>
      <c r="F44" s="52">
        <f>'📋 SOLDE MEMBRES'!F30</f>
        <v>0</v>
      </c>
      <c r="G44" s="52">
        <f>'📋 SOLDE MEMBRES'!G30</f>
        <v>0</v>
      </c>
      <c r="H44" s="52">
        <f>'📋 SOLDE MEMBRES'!H30</f>
        <v>0</v>
      </c>
      <c r="I44" s="51" t="str">
        <f>'📋 SOLDE MEMBRES'!I30</f>
        <v>✅ À jour</v>
      </c>
    </row>
    <row r="45" spans="1:9" ht="19.5" customHeight="1" x14ac:dyDescent="0.3">
      <c r="A45" s="53">
        <v>28</v>
      </c>
      <c r="B45" s="54" t="str">
        <f>'📋 SOLDE MEMBRES'!B31</f>
        <v>TSP-2027-028</v>
      </c>
      <c r="C45" s="54">
        <f>'📋 SOLDE MEMBRES'!C31</f>
        <v>0</v>
      </c>
      <c r="D45" s="54">
        <f>'📋 SOLDE MEMBRES'!D31</f>
        <v>0</v>
      </c>
      <c r="E45" s="55">
        <f>'📋 SOLDE MEMBRES'!E31</f>
        <v>0</v>
      </c>
      <c r="F45" s="55">
        <f>'📋 SOLDE MEMBRES'!F31</f>
        <v>0</v>
      </c>
      <c r="G45" s="55">
        <f>'📋 SOLDE MEMBRES'!G31</f>
        <v>0</v>
      </c>
      <c r="H45" s="55">
        <f>'📋 SOLDE MEMBRES'!H31</f>
        <v>0</v>
      </c>
      <c r="I45" s="54" t="str">
        <f>'📋 SOLDE MEMBRES'!I31</f>
        <v>✅ À jour</v>
      </c>
    </row>
    <row r="46" spans="1:9" ht="19.5" customHeight="1" x14ac:dyDescent="0.3">
      <c r="A46" s="50">
        <v>29</v>
      </c>
      <c r="B46" s="51" t="str">
        <f>'📋 SOLDE MEMBRES'!B32</f>
        <v>TSP-2027-029</v>
      </c>
      <c r="C46" s="51">
        <f>'📋 SOLDE MEMBRES'!C32</f>
        <v>0</v>
      </c>
      <c r="D46" s="51">
        <f>'📋 SOLDE MEMBRES'!D32</f>
        <v>0</v>
      </c>
      <c r="E46" s="52">
        <f>'📋 SOLDE MEMBRES'!E32</f>
        <v>0</v>
      </c>
      <c r="F46" s="52">
        <f>'📋 SOLDE MEMBRES'!F32</f>
        <v>0</v>
      </c>
      <c r="G46" s="52">
        <f>'📋 SOLDE MEMBRES'!G32</f>
        <v>0</v>
      </c>
      <c r="H46" s="52">
        <f>'📋 SOLDE MEMBRES'!H32</f>
        <v>0</v>
      </c>
      <c r="I46" s="51" t="str">
        <f>'📋 SOLDE MEMBRES'!I32</f>
        <v>✅ À jour</v>
      </c>
    </row>
    <row r="47" spans="1:9" ht="19.5" customHeight="1" x14ac:dyDescent="0.3">
      <c r="A47" s="53">
        <v>30</v>
      </c>
      <c r="B47" s="54" t="str">
        <f>'📋 SOLDE MEMBRES'!B33</f>
        <v>TSP-2027-030</v>
      </c>
      <c r="C47" s="54">
        <f>'📋 SOLDE MEMBRES'!C33</f>
        <v>0</v>
      </c>
      <c r="D47" s="54">
        <f>'📋 SOLDE MEMBRES'!D33</f>
        <v>0</v>
      </c>
      <c r="E47" s="55">
        <f>'📋 SOLDE MEMBRES'!E33</f>
        <v>0</v>
      </c>
      <c r="F47" s="55">
        <f>'📋 SOLDE MEMBRES'!F33</f>
        <v>0</v>
      </c>
      <c r="G47" s="55">
        <f>'📋 SOLDE MEMBRES'!G33</f>
        <v>0</v>
      </c>
      <c r="H47" s="55">
        <f>'📋 SOLDE MEMBRES'!H33</f>
        <v>0</v>
      </c>
      <c r="I47" s="54" t="str">
        <f>'📋 SOLDE MEMBRES'!I33</f>
        <v>✅ À jour</v>
      </c>
    </row>
    <row r="48" spans="1:9" ht="19.5" customHeight="1" x14ac:dyDescent="0.3">
      <c r="A48" s="50">
        <v>31</v>
      </c>
      <c r="B48" s="51" t="str">
        <f>'📋 SOLDE MEMBRES'!B34</f>
        <v>TSP-2027-031</v>
      </c>
      <c r="C48" s="51">
        <f>'📋 SOLDE MEMBRES'!C34</f>
        <v>0</v>
      </c>
      <c r="D48" s="51">
        <f>'📋 SOLDE MEMBRES'!D34</f>
        <v>0</v>
      </c>
      <c r="E48" s="52">
        <f>'📋 SOLDE MEMBRES'!E34</f>
        <v>0</v>
      </c>
      <c r="F48" s="52">
        <f>'📋 SOLDE MEMBRES'!F34</f>
        <v>0</v>
      </c>
      <c r="G48" s="52">
        <f>'📋 SOLDE MEMBRES'!G34</f>
        <v>0</v>
      </c>
      <c r="H48" s="52">
        <f>'📋 SOLDE MEMBRES'!H34</f>
        <v>0</v>
      </c>
      <c r="I48" s="51" t="str">
        <f>'📋 SOLDE MEMBRES'!I34</f>
        <v>✅ À jour</v>
      </c>
    </row>
    <row r="49" spans="1:9" ht="19.5" customHeight="1" x14ac:dyDescent="0.3">
      <c r="A49" s="53">
        <v>32</v>
      </c>
      <c r="B49" s="54" t="str">
        <f>'📋 SOLDE MEMBRES'!B35</f>
        <v>TSP-2027-032</v>
      </c>
      <c r="C49" s="54">
        <f>'📋 SOLDE MEMBRES'!C35</f>
        <v>0</v>
      </c>
      <c r="D49" s="54">
        <f>'📋 SOLDE MEMBRES'!D35</f>
        <v>0</v>
      </c>
      <c r="E49" s="55">
        <f>'📋 SOLDE MEMBRES'!E35</f>
        <v>0</v>
      </c>
      <c r="F49" s="55">
        <f>'📋 SOLDE MEMBRES'!F35</f>
        <v>0</v>
      </c>
      <c r="G49" s="55">
        <f>'📋 SOLDE MEMBRES'!G35</f>
        <v>0</v>
      </c>
      <c r="H49" s="55">
        <f>'📋 SOLDE MEMBRES'!H35</f>
        <v>0</v>
      </c>
      <c r="I49" s="54" t="str">
        <f>'📋 SOLDE MEMBRES'!I35</f>
        <v>✅ À jour</v>
      </c>
    </row>
    <row r="50" spans="1:9" ht="19.5" customHeight="1" x14ac:dyDescent="0.3">
      <c r="A50" s="50">
        <v>33</v>
      </c>
      <c r="B50" s="51" t="str">
        <f>'📋 SOLDE MEMBRES'!B36</f>
        <v>TSP-2027-033</v>
      </c>
      <c r="C50" s="51">
        <f>'📋 SOLDE MEMBRES'!C36</f>
        <v>0</v>
      </c>
      <c r="D50" s="51">
        <f>'📋 SOLDE MEMBRES'!D36</f>
        <v>0</v>
      </c>
      <c r="E50" s="52">
        <f>'📋 SOLDE MEMBRES'!E36</f>
        <v>0</v>
      </c>
      <c r="F50" s="52">
        <f>'📋 SOLDE MEMBRES'!F36</f>
        <v>0</v>
      </c>
      <c r="G50" s="52">
        <f>'📋 SOLDE MEMBRES'!G36</f>
        <v>0</v>
      </c>
      <c r="H50" s="52">
        <f>'📋 SOLDE MEMBRES'!H36</f>
        <v>0</v>
      </c>
      <c r="I50" s="51" t="str">
        <f>'📋 SOLDE MEMBRES'!I36</f>
        <v>✅ À jour</v>
      </c>
    </row>
    <row r="51" spans="1:9" ht="19.5" customHeight="1" x14ac:dyDescent="0.3">
      <c r="A51" s="53">
        <v>34</v>
      </c>
      <c r="B51" s="54" t="str">
        <f>'📋 SOLDE MEMBRES'!B37</f>
        <v>TSP-2027-034</v>
      </c>
      <c r="C51" s="54">
        <f>'📋 SOLDE MEMBRES'!C37</f>
        <v>0</v>
      </c>
      <c r="D51" s="54">
        <f>'📋 SOLDE MEMBRES'!D37</f>
        <v>0</v>
      </c>
      <c r="E51" s="55">
        <f>'📋 SOLDE MEMBRES'!E37</f>
        <v>0</v>
      </c>
      <c r="F51" s="55">
        <f>'📋 SOLDE MEMBRES'!F37</f>
        <v>0</v>
      </c>
      <c r="G51" s="55">
        <f>'📋 SOLDE MEMBRES'!G37</f>
        <v>0</v>
      </c>
      <c r="H51" s="55">
        <f>'📋 SOLDE MEMBRES'!H37</f>
        <v>0</v>
      </c>
      <c r="I51" s="54" t="str">
        <f>'📋 SOLDE MEMBRES'!I37</f>
        <v>✅ À jour</v>
      </c>
    </row>
    <row r="52" spans="1:9" ht="19.5" customHeight="1" x14ac:dyDescent="0.3">
      <c r="A52" s="50">
        <v>35</v>
      </c>
      <c r="B52" s="51" t="str">
        <f>'📋 SOLDE MEMBRES'!B38</f>
        <v>TSP-2027-035</v>
      </c>
      <c r="C52" s="51">
        <f>'📋 SOLDE MEMBRES'!C38</f>
        <v>0</v>
      </c>
      <c r="D52" s="51">
        <f>'📋 SOLDE MEMBRES'!D38</f>
        <v>0</v>
      </c>
      <c r="E52" s="52">
        <f>'📋 SOLDE MEMBRES'!E38</f>
        <v>0</v>
      </c>
      <c r="F52" s="52">
        <f>'📋 SOLDE MEMBRES'!F38</f>
        <v>0</v>
      </c>
      <c r="G52" s="52">
        <f>'📋 SOLDE MEMBRES'!G38</f>
        <v>0</v>
      </c>
      <c r="H52" s="52">
        <f>'📋 SOLDE MEMBRES'!H38</f>
        <v>0</v>
      </c>
      <c r="I52" s="51" t="str">
        <f>'📋 SOLDE MEMBRES'!I38</f>
        <v>✅ À jour</v>
      </c>
    </row>
    <row r="53" spans="1:9" ht="19.5" customHeight="1" x14ac:dyDescent="0.3">
      <c r="A53" s="53">
        <v>36</v>
      </c>
      <c r="B53" s="54" t="str">
        <f>'📋 SOLDE MEMBRES'!B39</f>
        <v>TSP-2027-036</v>
      </c>
      <c r="C53" s="54">
        <f>'📋 SOLDE MEMBRES'!C39</f>
        <v>0</v>
      </c>
      <c r="D53" s="54">
        <f>'📋 SOLDE MEMBRES'!D39</f>
        <v>0</v>
      </c>
      <c r="E53" s="55">
        <f>'📋 SOLDE MEMBRES'!E39</f>
        <v>0</v>
      </c>
      <c r="F53" s="55">
        <f>'📋 SOLDE MEMBRES'!F39</f>
        <v>0</v>
      </c>
      <c r="G53" s="55">
        <f>'📋 SOLDE MEMBRES'!G39</f>
        <v>0</v>
      </c>
      <c r="H53" s="55">
        <f>'📋 SOLDE MEMBRES'!H39</f>
        <v>0</v>
      </c>
      <c r="I53" s="54" t="str">
        <f>'📋 SOLDE MEMBRES'!I39</f>
        <v>✅ À jour</v>
      </c>
    </row>
    <row r="54" spans="1:9" ht="19.5" customHeight="1" x14ac:dyDescent="0.3">
      <c r="A54" s="50">
        <v>37</v>
      </c>
      <c r="B54" s="51" t="str">
        <f>'📋 SOLDE MEMBRES'!B40</f>
        <v>TSP-2027-037</v>
      </c>
      <c r="C54" s="51">
        <f>'📋 SOLDE MEMBRES'!C40</f>
        <v>0</v>
      </c>
      <c r="D54" s="51">
        <f>'📋 SOLDE MEMBRES'!D40</f>
        <v>0</v>
      </c>
      <c r="E54" s="52">
        <f>'📋 SOLDE MEMBRES'!E40</f>
        <v>0</v>
      </c>
      <c r="F54" s="52">
        <f>'📋 SOLDE MEMBRES'!F40</f>
        <v>0</v>
      </c>
      <c r="G54" s="52">
        <f>'📋 SOLDE MEMBRES'!G40</f>
        <v>0</v>
      </c>
      <c r="H54" s="52">
        <f>'📋 SOLDE MEMBRES'!H40</f>
        <v>0</v>
      </c>
      <c r="I54" s="51" t="str">
        <f>'📋 SOLDE MEMBRES'!I40</f>
        <v>✅ À jour</v>
      </c>
    </row>
    <row r="55" spans="1:9" ht="19.5" customHeight="1" x14ac:dyDescent="0.3">
      <c r="A55" s="53">
        <v>38</v>
      </c>
      <c r="B55" s="54" t="str">
        <f>'📋 SOLDE MEMBRES'!B41</f>
        <v>TSP-2027-038</v>
      </c>
      <c r="C55" s="54">
        <f>'📋 SOLDE MEMBRES'!C41</f>
        <v>0</v>
      </c>
      <c r="D55" s="54">
        <f>'📋 SOLDE MEMBRES'!D41</f>
        <v>0</v>
      </c>
      <c r="E55" s="55">
        <f>'📋 SOLDE MEMBRES'!E41</f>
        <v>0</v>
      </c>
      <c r="F55" s="55">
        <f>'📋 SOLDE MEMBRES'!F41</f>
        <v>0</v>
      </c>
      <c r="G55" s="55">
        <f>'📋 SOLDE MEMBRES'!G41</f>
        <v>0</v>
      </c>
      <c r="H55" s="55">
        <f>'📋 SOLDE MEMBRES'!H41</f>
        <v>0</v>
      </c>
      <c r="I55" s="54" t="str">
        <f>'📋 SOLDE MEMBRES'!I41</f>
        <v>✅ À jour</v>
      </c>
    </row>
    <row r="56" spans="1:9" ht="19.5" customHeight="1" x14ac:dyDescent="0.3">
      <c r="A56" s="50">
        <v>39</v>
      </c>
      <c r="B56" s="51" t="str">
        <f>'📋 SOLDE MEMBRES'!B42</f>
        <v>TSP-2027-039</v>
      </c>
      <c r="C56" s="51">
        <f>'📋 SOLDE MEMBRES'!C42</f>
        <v>0</v>
      </c>
      <c r="D56" s="51">
        <f>'📋 SOLDE MEMBRES'!D42</f>
        <v>0</v>
      </c>
      <c r="E56" s="52">
        <f>'📋 SOLDE MEMBRES'!E42</f>
        <v>0</v>
      </c>
      <c r="F56" s="52">
        <f>'📋 SOLDE MEMBRES'!F42</f>
        <v>0</v>
      </c>
      <c r="G56" s="52">
        <f>'📋 SOLDE MEMBRES'!G42</f>
        <v>0</v>
      </c>
      <c r="H56" s="52">
        <f>'📋 SOLDE MEMBRES'!H42</f>
        <v>0</v>
      </c>
      <c r="I56" s="51" t="str">
        <f>'📋 SOLDE MEMBRES'!I42</f>
        <v>✅ À jour</v>
      </c>
    </row>
    <row r="57" spans="1:9" ht="19.5" customHeight="1" x14ac:dyDescent="0.3">
      <c r="A57" s="53">
        <v>40</v>
      </c>
      <c r="B57" s="54" t="str">
        <f>'📋 SOLDE MEMBRES'!B43</f>
        <v>TSP-2027-040</v>
      </c>
      <c r="C57" s="54">
        <f>'📋 SOLDE MEMBRES'!C43</f>
        <v>0</v>
      </c>
      <c r="D57" s="54">
        <f>'📋 SOLDE MEMBRES'!D43</f>
        <v>0</v>
      </c>
      <c r="E57" s="55">
        <f>'📋 SOLDE MEMBRES'!E43</f>
        <v>0</v>
      </c>
      <c r="F57" s="55">
        <f>'📋 SOLDE MEMBRES'!F43</f>
        <v>0</v>
      </c>
      <c r="G57" s="55">
        <f>'📋 SOLDE MEMBRES'!G43</f>
        <v>0</v>
      </c>
      <c r="H57" s="55">
        <f>'📋 SOLDE MEMBRES'!H43</f>
        <v>0</v>
      </c>
      <c r="I57" s="54" t="str">
        <f>'📋 SOLDE MEMBRES'!I43</f>
        <v>✅ À jour</v>
      </c>
    </row>
    <row r="58" spans="1:9" ht="19.5" customHeight="1" x14ac:dyDescent="0.3">
      <c r="A58" s="50">
        <v>41</v>
      </c>
      <c r="B58" s="51" t="str">
        <f>'📋 SOLDE MEMBRES'!B44</f>
        <v>TSP-2027-041</v>
      </c>
      <c r="C58" s="51">
        <f>'📋 SOLDE MEMBRES'!C44</f>
        <v>0</v>
      </c>
      <c r="D58" s="51">
        <f>'📋 SOLDE MEMBRES'!D44</f>
        <v>0</v>
      </c>
      <c r="E58" s="52">
        <f>'📋 SOLDE MEMBRES'!E44</f>
        <v>0</v>
      </c>
      <c r="F58" s="52">
        <f>'📋 SOLDE MEMBRES'!F44</f>
        <v>0</v>
      </c>
      <c r="G58" s="52">
        <f>'📋 SOLDE MEMBRES'!G44</f>
        <v>0</v>
      </c>
      <c r="H58" s="52">
        <f>'📋 SOLDE MEMBRES'!H44</f>
        <v>0</v>
      </c>
      <c r="I58" s="51" t="str">
        <f>'📋 SOLDE MEMBRES'!I44</f>
        <v>✅ À jour</v>
      </c>
    </row>
    <row r="59" spans="1:9" ht="19.5" customHeight="1" x14ac:dyDescent="0.3">
      <c r="A59" s="53">
        <v>42</v>
      </c>
      <c r="B59" s="54" t="str">
        <f>'📋 SOLDE MEMBRES'!B45</f>
        <v>TSP-2027-042</v>
      </c>
      <c r="C59" s="54">
        <f>'📋 SOLDE MEMBRES'!C45</f>
        <v>0</v>
      </c>
      <c r="D59" s="54">
        <f>'📋 SOLDE MEMBRES'!D45</f>
        <v>0</v>
      </c>
      <c r="E59" s="55">
        <f>'📋 SOLDE MEMBRES'!E45</f>
        <v>0</v>
      </c>
      <c r="F59" s="55">
        <f>'📋 SOLDE MEMBRES'!F45</f>
        <v>0</v>
      </c>
      <c r="G59" s="55">
        <f>'📋 SOLDE MEMBRES'!G45</f>
        <v>0</v>
      </c>
      <c r="H59" s="55">
        <f>'📋 SOLDE MEMBRES'!H45</f>
        <v>0</v>
      </c>
      <c r="I59" s="54" t="str">
        <f>'📋 SOLDE MEMBRES'!I45</f>
        <v>✅ À jour</v>
      </c>
    </row>
    <row r="60" spans="1:9" ht="19.5" customHeight="1" x14ac:dyDescent="0.3">
      <c r="A60" s="50">
        <v>43</v>
      </c>
      <c r="B60" s="51" t="str">
        <f>'📋 SOLDE MEMBRES'!B46</f>
        <v>TSP-2027-043</v>
      </c>
      <c r="C60" s="51">
        <f>'📋 SOLDE MEMBRES'!C46</f>
        <v>0</v>
      </c>
      <c r="D60" s="51">
        <f>'📋 SOLDE MEMBRES'!D46</f>
        <v>0</v>
      </c>
      <c r="E60" s="52">
        <f>'📋 SOLDE MEMBRES'!E46</f>
        <v>0</v>
      </c>
      <c r="F60" s="52">
        <f>'📋 SOLDE MEMBRES'!F46</f>
        <v>0</v>
      </c>
      <c r="G60" s="52">
        <f>'📋 SOLDE MEMBRES'!G46</f>
        <v>0</v>
      </c>
      <c r="H60" s="52">
        <f>'📋 SOLDE MEMBRES'!H46</f>
        <v>0</v>
      </c>
      <c r="I60" s="51" t="str">
        <f>'📋 SOLDE MEMBRES'!I46</f>
        <v>✅ À jour</v>
      </c>
    </row>
    <row r="61" spans="1:9" ht="19.5" customHeight="1" x14ac:dyDescent="0.3">
      <c r="A61" s="53">
        <v>44</v>
      </c>
      <c r="B61" s="54" t="str">
        <f>'📋 SOLDE MEMBRES'!B47</f>
        <v>TSP-2027-044</v>
      </c>
      <c r="C61" s="54">
        <f>'📋 SOLDE MEMBRES'!C47</f>
        <v>0</v>
      </c>
      <c r="D61" s="54">
        <f>'📋 SOLDE MEMBRES'!D47</f>
        <v>0</v>
      </c>
      <c r="E61" s="55">
        <f>'📋 SOLDE MEMBRES'!E47</f>
        <v>0</v>
      </c>
      <c r="F61" s="55">
        <f>'📋 SOLDE MEMBRES'!F47</f>
        <v>0</v>
      </c>
      <c r="G61" s="55">
        <f>'📋 SOLDE MEMBRES'!G47</f>
        <v>0</v>
      </c>
      <c r="H61" s="55">
        <f>'📋 SOLDE MEMBRES'!H47</f>
        <v>0</v>
      </c>
      <c r="I61" s="54" t="str">
        <f>'📋 SOLDE MEMBRES'!I47</f>
        <v>✅ À jour</v>
      </c>
    </row>
    <row r="62" spans="1:9" ht="19.5" customHeight="1" x14ac:dyDescent="0.3">
      <c r="A62" s="50">
        <v>45</v>
      </c>
      <c r="B62" s="51" t="str">
        <f>'📋 SOLDE MEMBRES'!B48</f>
        <v>TSP-2027-045</v>
      </c>
      <c r="C62" s="51">
        <f>'📋 SOLDE MEMBRES'!C48</f>
        <v>0</v>
      </c>
      <c r="D62" s="51">
        <f>'📋 SOLDE MEMBRES'!D48</f>
        <v>0</v>
      </c>
      <c r="E62" s="52">
        <f>'📋 SOLDE MEMBRES'!E48</f>
        <v>0</v>
      </c>
      <c r="F62" s="52">
        <f>'📋 SOLDE MEMBRES'!F48</f>
        <v>0</v>
      </c>
      <c r="G62" s="52">
        <f>'📋 SOLDE MEMBRES'!G48</f>
        <v>0</v>
      </c>
      <c r="H62" s="52">
        <f>'📋 SOLDE MEMBRES'!H48</f>
        <v>0</v>
      </c>
      <c r="I62" s="51" t="str">
        <f>'📋 SOLDE MEMBRES'!I48</f>
        <v>✅ À jour</v>
      </c>
    </row>
    <row r="63" spans="1:9" ht="19.5" customHeight="1" x14ac:dyDescent="0.3">
      <c r="A63" s="53">
        <v>46</v>
      </c>
      <c r="B63" s="54" t="str">
        <f>'📋 SOLDE MEMBRES'!B49</f>
        <v>TSP-2027-046</v>
      </c>
      <c r="C63" s="54">
        <f>'📋 SOLDE MEMBRES'!C49</f>
        <v>0</v>
      </c>
      <c r="D63" s="54">
        <f>'📋 SOLDE MEMBRES'!D49</f>
        <v>0</v>
      </c>
      <c r="E63" s="55">
        <f>'📋 SOLDE MEMBRES'!E49</f>
        <v>0</v>
      </c>
      <c r="F63" s="55">
        <f>'📋 SOLDE MEMBRES'!F49</f>
        <v>0</v>
      </c>
      <c r="G63" s="55">
        <f>'📋 SOLDE MEMBRES'!G49</f>
        <v>0</v>
      </c>
      <c r="H63" s="55">
        <f>'📋 SOLDE MEMBRES'!H49</f>
        <v>0</v>
      </c>
      <c r="I63" s="54" t="str">
        <f>'📋 SOLDE MEMBRES'!I49</f>
        <v>✅ À jour</v>
      </c>
    </row>
    <row r="64" spans="1:9" ht="19.5" customHeight="1" x14ac:dyDescent="0.3">
      <c r="A64" s="50">
        <v>47</v>
      </c>
      <c r="B64" s="51" t="str">
        <f>'📋 SOLDE MEMBRES'!B50</f>
        <v>TSP-2027-047</v>
      </c>
      <c r="C64" s="51">
        <f>'📋 SOLDE MEMBRES'!C50</f>
        <v>0</v>
      </c>
      <c r="D64" s="51">
        <f>'📋 SOLDE MEMBRES'!D50</f>
        <v>0</v>
      </c>
      <c r="E64" s="52">
        <f>'📋 SOLDE MEMBRES'!E50</f>
        <v>0</v>
      </c>
      <c r="F64" s="52">
        <f>'📋 SOLDE MEMBRES'!F50</f>
        <v>0</v>
      </c>
      <c r="G64" s="52">
        <f>'📋 SOLDE MEMBRES'!G50</f>
        <v>0</v>
      </c>
      <c r="H64" s="52">
        <f>'📋 SOLDE MEMBRES'!H50</f>
        <v>0</v>
      </c>
      <c r="I64" s="51" t="str">
        <f>'📋 SOLDE MEMBRES'!I50</f>
        <v>✅ À jour</v>
      </c>
    </row>
    <row r="65" spans="1:12" ht="19.5" customHeight="1" x14ac:dyDescent="0.3">
      <c r="A65" s="53">
        <v>48</v>
      </c>
      <c r="B65" s="54" t="str">
        <f>'📋 SOLDE MEMBRES'!B51</f>
        <v>TSP-2027-048</v>
      </c>
      <c r="C65" s="54">
        <f>'📋 SOLDE MEMBRES'!C51</f>
        <v>0</v>
      </c>
      <c r="D65" s="54">
        <f>'📋 SOLDE MEMBRES'!D51</f>
        <v>0</v>
      </c>
      <c r="E65" s="55">
        <f>'📋 SOLDE MEMBRES'!E51</f>
        <v>0</v>
      </c>
      <c r="F65" s="55">
        <f>'📋 SOLDE MEMBRES'!F51</f>
        <v>0</v>
      </c>
      <c r="G65" s="55">
        <f>'📋 SOLDE MEMBRES'!G51</f>
        <v>0</v>
      </c>
      <c r="H65" s="55">
        <f>'📋 SOLDE MEMBRES'!H51</f>
        <v>0</v>
      </c>
      <c r="I65" s="54" t="str">
        <f>'📋 SOLDE MEMBRES'!I51</f>
        <v>✅ À jour</v>
      </c>
    </row>
    <row r="66" spans="1:12" ht="19.5" customHeight="1" x14ac:dyDescent="0.3">
      <c r="A66" s="50">
        <v>49</v>
      </c>
      <c r="B66" s="51" t="str">
        <f>'📋 SOLDE MEMBRES'!B52</f>
        <v>TSP-2027-049</v>
      </c>
      <c r="C66" s="51">
        <f>'📋 SOLDE MEMBRES'!C52</f>
        <v>0</v>
      </c>
      <c r="D66" s="51">
        <f>'📋 SOLDE MEMBRES'!D52</f>
        <v>0</v>
      </c>
      <c r="E66" s="52">
        <f>'📋 SOLDE MEMBRES'!E52</f>
        <v>0</v>
      </c>
      <c r="F66" s="52">
        <f>'📋 SOLDE MEMBRES'!F52</f>
        <v>0</v>
      </c>
      <c r="G66" s="52">
        <f>'📋 SOLDE MEMBRES'!G52</f>
        <v>0</v>
      </c>
      <c r="H66" s="52">
        <f>'📋 SOLDE MEMBRES'!H52</f>
        <v>0</v>
      </c>
      <c r="I66" s="51" t="str">
        <f>'📋 SOLDE MEMBRES'!I52</f>
        <v>✅ À jour</v>
      </c>
    </row>
    <row r="67" spans="1:12" ht="19.5" customHeight="1" x14ac:dyDescent="0.3">
      <c r="A67" s="53">
        <v>50</v>
      </c>
      <c r="B67" s="54" t="str">
        <f>'📋 SOLDE MEMBRES'!B53</f>
        <v>TSP-2027-050</v>
      </c>
      <c r="C67" s="54">
        <f>'📋 SOLDE MEMBRES'!C53</f>
        <v>0</v>
      </c>
      <c r="D67" s="54">
        <f>'📋 SOLDE MEMBRES'!D53</f>
        <v>0</v>
      </c>
      <c r="E67" s="55">
        <f>'📋 SOLDE MEMBRES'!E53</f>
        <v>0</v>
      </c>
      <c r="F67" s="55">
        <f>'📋 SOLDE MEMBRES'!F53</f>
        <v>0</v>
      </c>
      <c r="G67" s="55">
        <f>'📋 SOLDE MEMBRES'!G53</f>
        <v>0</v>
      </c>
      <c r="H67" s="55">
        <f>'📋 SOLDE MEMBRES'!H53</f>
        <v>0</v>
      </c>
      <c r="I67" s="54" t="str">
        <f>'📋 SOLDE MEMBRES'!I53</f>
        <v>✅ À jour</v>
      </c>
    </row>
    <row r="70" spans="1:12" ht="27.75" customHeight="1" x14ac:dyDescent="0.3">
      <c r="A70" s="90" t="s">
        <v>1272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</row>
    <row r="71" spans="1:12" ht="21.75" customHeight="1" x14ac:dyDescent="0.3">
      <c r="A71" s="56" t="s">
        <v>1273</v>
      </c>
      <c r="B71" s="56" t="s">
        <v>1274</v>
      </c>
      <c r="C71" s="56" t="s">
        <v>111</v>
      </c>
      <c r="D71" s="56" t="s">
        <v>112</v>
      </c>
      <c r="E71" s="56" t="s">
        <v>113</v>
      </c>
      <c r="F71" s="56" t="s">
        <v>114</v>
      </c>
      <c r="G71" s="56" t="s">
        <v>1275</v>
      </c>
      <c r="H71" s="56" t="s">
        <v>116</v>
      </c>
      <c r="I71" s="56" t="s">
        <v>1276</v>
      </c>
      <c r="J71" s="56" t="s">
        <v>1277</v>
      </c>
      <c r="K71" s="56" t="s">
        <v>1278</v>
      </c>
      <c r="L71" s="56" t="s">
        <v>1279</v>
      </c>
    </row>
    <row r="72" spans="1:12" ht="24" customHeight="1" x14ac:dyDescent="0.3">
      <c r="A72" s="57">
        <f>'💰 COTISATIONS'!E54+'💰 COTISATIONS'!F54+'💰 COTISATIONS'!G54+'💰 COTISATIONS'!H54+'💰 COTISATIONS'!I54</f>
        <v>0</v>
      </c>
      <c r="B72" s="57">
        <f>'💰 COTISATIONS'!J54+'💰 COTISATIONS'!K54+'💰 COTISATIONS'!L54+'💰 COTISATIONS'!M54</f>
        <v>0</v>
      </c>
      <c r="C72" s="57">
        <f>'💰 COTISATIONS'!N54+'💰 COTISATIONS'!O54+'💰 COTISATIONS'!P54+'💰 COTISATIONS'!Q54</f>
        <v>0</v>
      </c>
      <c r="D72" s="57">
        <f>'💰 COTISATIONS'!R54+'💰 COTISATIONS'!S54+'💰 COTISATIONS'!T54+'💰 COTISATIONS'!U54</f>
        <v>0</v>
      </c>
      <c r="E72" s="57">
        <f>'💰 COTISATIONS'!V54+'💰 COTISATIONS'!W54+'💰 COTISATIONS'!X54+'💰 COTISATIONS'!Y54+'💰 COTISATIONS'!Z54</f>
        <v>0</v>
      </c>
      <c r="F72" s="57">
        <f>'💰 COTISATIONS'!AA54+'💰 COTISATIONS'!AB54+'💰 COTISATIONS'!AC54+'💰 COTISATIONS'!AD54</f>
        <v>0</v>
      </c>
      <c r="G72" s="57">
        <f>'💰 COTISATIONS'!AE54+'💰 COTISATIONS'!AF54+'💰 COTISATIONS'!AG54+'💰 COTISATIONS'!AH54</f>
        <v>0</v>
      </c>
      <c r="H72" s="57">
        <f>'💰 COTISATIONS'!AI54+'💰 COTISATIONS'!AJ54+'💰 COTISATIONS'!AK54+'💰 COTISATIONS'!AL54+'💰 COTISATIONS'!AM54</f>
        <v>0</v>
      </c>
      <c r="I72" s="57">
        <f>'💰 COTISATIONS'!AN54+'💰 COTISATIONS'!AO54+'💰 COTISATIONS'!AP54+'💰 COTISATIONS'!AQ54</f>
        <v>0</v>
      </c>
      <c r="J72" s="57">
        <f>'💰 COTISATIONS'!AR54+'💰 COTISATIONS'!AS54+'💰 COTISATIONS'!AT54+'💰 COTISATIONS'!AU54+'💰 COTISATIONS'!AV54</f>
        <v>0</v>
      </c>
      <c r="K72" s="57">
        <f>'💰 COTISATIONS'!AW54+'💰 COTISATIONS'!AX54+'💰 COTISATIONS'!AY54+'💰 COTISATIONS'!AZ54</f>
        <v>0</v>
      </c>
      <c r="L72" s="57">
        <f>'💰 COTISATIONS'!BA54+'💰 COTISATIONS'!BB54+'💰 COTISATIONS'!BC54+'💰 COTISATIONS'!BD54</f>
        <v>0</v>
      </c>
    </row>
  </sheetData>
  <mergeCells count="28">
    <mergeCell ref="A70:L70"/>
    <mergeCell ref="A11:C11"/>
    <mergeCell ref="D11:F11"/>
    <mergeCell ref="G11:I11"/>
    <mergeCell ref="J11:L11"/>
    <mergeCell ref="A16:L16"/>
    <mergeCell ref="A9:C9"/>
    <mergeCell ref="D9:F9"/>
    <mergeCell ref="G9:I9"/>
    <mergeCell ref="J9:L9"/>
    <mergeCell ref="A10:C10"/>
    <mergeCell ref="D10:F10"/>
    <mergeCell ref="G10:I10"/>
    <mergeCell ref="J10:L10"/>
    <mergeCell ref="A5:C5"/>
    <mergeCell ref="D5:F5"/>
    <mergeCell ref="G5:I5"/>
    <mergeCell ref="J5:L5"/>
    <mergeCell ref="A6:C6"/>
    <mergeCell ref="D6:F6"/>
    <mergeCell ref="G6:I6"/>
    <mergeCell ref="J6:L6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499984740745262"/>
  </sheetPr>
  <dimension ref="A1:L5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8" sqref="D8"/>
    </sheetView>
  </sheetViews>
  <sheetFormatPr baseColWidth="10" defaultColWidth="8.6640625" defaultRowHeight="14.4" x14ac:dyDescent="0.3"/>
  <cols>
    <col min="1" max="1" width="5" customWidth="1"/>
    <col min="2" max="2" width="14" customWidth="1"/>
    <col min="3" max="3" width="18" customWidth="1"/>
    <col min="4" max="4" width="20" customWidth="1"/>
    <col min="5" max="5" width="16" customWidth="1"/>
    <col min="6" max="6" width="26" customWidth="1"/>
    <col min="7" max="7" width="8" customWidth="1"/>
    <col min="8" max="9" width="16" customWidth="1"/>
    <col min="10" max="10" width="20" customWidth="1"/>
    <col min="11" max="11" width="24" customWidth="1"/>
    <col min="12" max="12" width="20" customWidth="1"/>
  </cols>
  <sheetData>
    <row r="1" spans="1:12" ht="31.5" customHeight="1" x14ac:dyDescent="0.3">
      <c r="A1" s="101" t="s">
        <v>1280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3" spans="1:12" ht="27.75" customHeight="1" x14ac:dyDescent="0.3">
      <c r="A3" s="1" t="s">
        <v>1232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1281</v>
      </c>
      <c r="I3" s="1" t="s">
        <v>49</v>
      </c>
      <c r="J3" s="1" t="s">
        <v>54</v>
      </c>
      <c r="K3" s="1" t="s">
        <v>53</v>
      </c>
      <c r="L3" s="1" t="s">
        <v>1282</v>
      </c>
    </row>
    <row r="4" spans="1:12" ht="21.75" customHeight="1" x14ac:dyDescent="0.3">
      <c r="A4" s="42">
        <v>1</v>
      </c>
      <c r="B4" s="25" t="str">
        <f>'👥 MEMBRES'!A5</f>
        <v>TSP-2027-001</v>
      </c>
      <c r="C4" s="18">
        <f>'👥 MEMBRES'!B5</f>
        <v>0</v>
      </c>
      <c r="D4" s="18">
        <f>'👥 MEMBRES'!C5</f>
        <v>0</v>
      </c>
      <c r="E4" s="18">
        <f>'👥 MEMBRES'!D5</f>
        <v>0</v>
      </c>
      <c r="F4" s="18">
        <f>'👥 MEMBRES'!E5</f>
        <v>0</v>
      </c>
      <c r="G4" s="18">
        <f>'👥 MEMBRES'!F5</f>
        <v>0</v>
      </c>
      <c r="H4" s="18">
        <f>'👥 MEMBRES'!G5</f>
        <v>0</v>
      </c>
      <c r="I4" s="18">
        <f>'👥 MEMBRES'!H5</f>
        <v>0</v>
      </c>
      <c r="J4" s="18">
        <f>'👥 MEMBRES'!M5</f>
        <v>0</v>
      </c>
      <c r="K4" s="18">
        <f>'👥 MEMBRES'!L5</f>
        <v>0</v>
      </c>
      <c r="L4" s="18">
        <f>'👥 MEMBRES'!M5</f>
        <v>0</v>
      </c>
    </row>
    <row r="5" spans="1:12" ht="21.75" customHeight="1" x14ac:dyDescent="0.3">
      <c r="A5" s="43">
        <v>2</v>
      </c>
      <c r="B5" s="28" t="str">
        <f>'👥 MEMBRES'!A6</f>
        <v>TSP-2027-002</v>
      </c>
      <c r="C5" s="26">
        <f>'👥 MEMBRES'!B6</f>
        <v>0</v>
      </c>
      <c r="D5" s="26">
        <f>'👥 MEMBRES'!C6</f>
        <v>0</v>
      </c>
      <c r="E5" s="26">
        <f>'👥 MEMBRES'!D6</f>
        <v>0</v>
      </c>
      <c r="F5" s="26">
        <f>'👥 MEMBRES'!E6</f>
        <v>0</v>
      </c>
      <c r="G5" s="26">
        <f>'👥 MEMBRES'!F6</f>
        <v>0</v>
      </c>
      <c r="H5" s="26">
        <f>'👥 MEMBRES'!G6</f>
        <v>0</v>
      </c>
      <c r="I5" s="26">
        <f>'👥 MEMBRES'!H6</f>
        <v>0</v>
      </c>
      <c r="J5" s="26">
        <f>'👥 MEMBRES'!M6</f>
        <v>0</v>
      </c>
      <c r="K5" s="26">
        <f>'👥 MEMBRES'!L6</f>
        <v>0</v>
      </c>
      <c r="L5" s="26">
        <f>'👥 MEMBRES'!M6</f>
        <v>0</v>
      </c>
    </row>
    <row r="6" spans="1:12" ht="21.75" customHeight="1" x14ac:dyDescent="0.3">
      <c r="A6" s="42">
        <v>3</v>
      </c>
      <c r="B6" s="25" t="str">
        <f>'👥 MEMBRES'!A7</f>
        <v>TSP-2027-003</v>
      </c>
      <c r="C6" s="18">
        <f>'👥 MEMBRES'!B7</f>
        <v>0</v>
      </c>
      <c r="D6" s="18">
        <f>'👥 MEMBRES'!C7</f>
        <v>0</v>
      </c>
      <c r="E6" s="18">
        <f>'👥 MEMBRES'!D7</f>
        <v>0</v>
      </c>
      <c r="F6" s="18">
        <f>'👥 MEMBRES'!E7</f>
        <v>0</v>
      </c>
      <c r="G6" s="18">
        <f>'👥 MEMBRES'!F7</f>
        <v>0</v>
      </c>
      <c r="H6" s="18">
        <f>'👥 MEMBRES'!G7</f>
        <v>0</v>
      </c>
      <c r="I6" s="18">
        <f>'👥 MEMBRES'!H7</f>
        <v>0</v>
      </c>
      <c r="J6" s="18">
        <f>'👥 MEMBRES'!M7</f>
        <v>0</v>
      </c>
      <c r="K6" s="18">
        <f>'👥 MEMBRES'!L7</f>
        <v>0</v>
      </c>
      <c r="L6" s="18">
        <f>'👥 MEMBRES'!M7</f>
        <v>0</v>
      </c>
    </row>
    <row r="7" spans="1:12" ht="21.75" customHeight="1" x14ac:dyDescent="0.3">
      <c r="A7" s="43">
        <v>4</v>
      </c>
      <c r="B7" s="28" t="str">
        <f>'👥 MEMBRES'!A8</f>
        <v>TSP-2027-004</v>
      </c>
      <c r="C7" s="26">
        <f>'👥 MEMBRES'!B8</f>
        <v>0</v>
      </c>
      <c r="D7" s="26">
        <f>'👥 MEMBRES'!C8</f>
        <v>0</v>
      </c>
      <c r="E7" s="26">
        <f>'👥 MEMBRES'!D8</f>
        <v>0</v>
      </c>
      <c r="F7" s="26">
        <f>'👥 MEMBRES'!E8</f>
        <v>0</v>
      </c>
      <c r="G7" s="26">
        <f>'👥 MEMBRES'!F8</f>
        <v>0</v>
      </c>
      <c r="H7" s="26">
        <f>'👥 MEMBRES'!G8</f>
        <v>0</v>
      </c>
      <c r="I7" s="26">
        <f>'👥 MEMBRES'!H8</f>
        <v>0</v>
      </c>
      <c r="J7" s="26">
        <f>'👥 MEMBRES'!M8</f>
        <v>0</v>
      </c>
      <c r="K7" s="26">
        <f>'👥 MEMBRES'!L8</f>
        <v>0</v>
      </c>
      <c r="L7" s="26">
        <f>'👥 MEMBRES'!M8</f>
        <v>0</v>
      </c>
    </row>
    <row r="8" spans="1:12" ht="21.75" customHeight="1" x14ac:dyDescent="0.3">
      <c r="A8" s="42">
        <v>5</v>
      </c>
      <c r="B8" s="25" t="str">
        <f>'👥 MEMBRES'!A9</f>
        <v>TSP-2027-005</v>
      </c>
      <c r="C8" s="18">
        <f>'👥 MEMBRES'!B9</f>
        <v>0</v>
      </c>
      <c r="D8" s="18">
        <f>'👥 MEMBRES'!C9</f>
        <v>0</v>
      </c>
      <c r="E8" s="18">
        <f>'👥 MEMBRES'!D9</f>
        <v>0</v>
      </c>
      <c r="F8" s="18">
        <f>'👥 MEMBRES'!E9</f>
        <v>0</v>
      </c>
      <c r="G8" s="18">
        <f>'👥 MEMBRES'!F9</f>
        <v>0</v>
      </c>
      <c r="H8" s="18">
        <f>'👥 MEMBRES'!G9</f>
        <v>0</v>
      </c>
      <c r="I8" s="18">
        <f>'👥 MEMBRES'!H9</f>
        <v>0</v>
      </c>
      <c r="J8" s="18">
        <f>'👥 MEMBRES'!M9</f>
        <v>0</v>
      </c>
      <c r="K8" s="18">
        <f>'👥 MEMBRES'!L9</f>
        <v>0</v>
      </c>
      <c r="L8" s="18">
        <f>'👥 MEMBRES'!M9</f>
        <v>0</v>
      </c>
    </row>
    <row r="9" spans="1:12" ht="21.75" customHeight="1" x14ac:dyDescent="0.3">
      <c r="A9" s="43">
        <v>6</v>
      </c>
      <c r="B9" s="28" t="str">
        <f>'👥 MEMBRES'!A10</f>
        <v>TSP-2027-006</v>
      </c>
      <c r="C9" s="26">
        <f>'👥 MEMBRES'!B10</f>
        <v>0</v>
      </c>
      <c r="D9" s="26">
        <f>'👥 MEMBRES'!C10</f>
        <v>0</v>
      </c>
      <c r="E9" s="26">
        <f>'👥 MEMBRES'!D10</f>
        <v>0</v>
      </c>
      <c r="F9" s="26">
        <f>'👥 MEMBRES'!E10</f>
        <v>0</v>
      </c>
      <c r="G9" s="26">
        <f>'👥 MEMBRES'!F10</f>
        <v>0</v>
      </c>
      <c r="H9" s="26">
        <f>'👥 MEMBRES'!G10</f>
        <v>0</v>
      </c>
      <c r="I9" s="26">
        <f>'👥 MEMBRES'!H10</f>
        <v>0</v>
      </c>
      <c r="J9" s="26">
        <f>'👥 MEMBRES'!M10</f>
        <v>0</v>
      </c>
      <c r="K9" s="26">
        <f>'👥 MEMBRES'!L10</f>
        <v>0</v>
      </c>
      <c r="L9" s="26">
        <f>'👥 MEMBRES'!M10</f>
        <v>0</v>
      </c>
    </row>
    <row r="10" spans="1:12" ht="21.75" customHeight="1" x14ac:dyDescent="0.3">
      <c r="A10" s="42">
        <v>7</v>
      </c>
      <c r="B10" s="25" t="str">
        <f>'👥 MEMBRES'!A11</f>
        <v>TSP-2027-007</v>
      </c>
      <c r="C10" s="18">
        <f>'👥 MEMBRES'!B11</f>
        <v>0</v>
      </c>
      <c r="D10" s="18">
        <f>'👥 MEMBRES'!C11</f>
        <v>0</v>
      </c>
      <c r="E10" s="18">
        <f>'👥 MEMBRES'!D11</f>
        <v>0</v>
      </c>
      <c r="F10" s="18">
        <f>'👥 MEMBRES'!E11</f>
        <v>0</v>
      </c>
      <c r="G10" s="18">
        <f>'👥 MEMBRES'!F11</f>
        <v>0</v>
      </c>
      <c r="H10" s="18">
        <f>'👥 MEMBRES'!G11</f>
        <v>0</v>
      </c>
      <c r="I10" s="18">
        <f>'👥 MEMBRES'!H11</f>
        <v>0</v>
      </c>
      <c r="J10" s="18">
        <f>'👥 MEMBRES'!M11</f>
        <v>0</v>
      </c>
      <c r="K10" s="18">
        <f>'👥 MEMBRES'!L11</f>
        <v>0</v>
      </c>
      <c r="L10" s="18">
        <f>'👥 MEMBRES'!M11</f>
        <v>0</v>
      </c>
    </row>
    <row r="11" spans="1:12" ht="21.75" customHeight="1" x14ac:dyDescent="0.3">
      <c r="A11" s="43">
        <v>8</v>
      </c>
      <c r="B11" s="28" t="str">
        <f>'👥 MEMBRES'!A12</f>
        <v>TSP-2027-008</v>
      </c>
      <c r="C11" s="26">
        <f>'👥 MEMBRES'!B12</f>
        <v>0</v>
      </c>
      <c r="D11" s="26">
        <f>'👥 MEMBRES'!C12</f>
        <v>0</v>
      </c>
      <c r="E11" s="26">
        <f>'👥 MEMBRES'!D12</f>
        <v>0</v>
      </c>
      <c r="F11" s="26">
        <f>'👥 MEMBRES'!E12</f>
        <v>0</v>
      </c>
      <c r="G11" s="26">
        <f>'👥 MEMBRES'!F12</f>
        <v>0</v>
      </c>
      <c r="H11" s="26">
        <f>'👥 MEMBRES'!G12</f>
        <v>0</v>
      </c>
      <c r="I11" s="26">
        <f>'👥 MEMBRES'!H12</f>
        <v>0</v>
      </c>
      <c r="J11" s="26">
        <f>'👥 MEMBRES'!M12</f>
        <v>0</v>
      </c>
      <c r="K11" s="26">
        <f>'👥 MEMBRES'!L12</f>
        <v>0</v>
      </c>
      <c r="L11" s="26">
        <f>'👥 MEMBRES'!M12</f>
        <v>0</v>
      </c>
    </row>
    <row r="12" spans="1:12" ht="21.75" customHeight="1" x14ac:dyDescent="0.3">
      <c r="A12" s="42">
        <v>9</v>
      </c>
      <c r="B12" s="25" t="str">
        <f>'👥 MEMBRES'!A13</f>
        <v>TSP-2027-009</v>
      </c>
      <c r="C12" s="18">
        <f>'👥 MEMBRES'!B13</f>
        <v>0</v>
      </c>
      <c r="D12" s="18">
        <f>'👥 MEMBRES'!C13</f>
        <v>0</v>
      </c>
      <c r="E12" s="18">
        <f>'👥 MEMBRES'!D13</f>
        <v>0</v>
      </c>
      <c r="F12" s="18">
        <f>'👥 MEMBRES'!E13</f>
        <v>0</v>
      </c>
      <c r="G12" s="18">
        <f>'👥 MEMBRES'!F13</f>
        <v>0</v>
      </c>
      <c r="H12" s="18">
        <f>'👥 MEMBRES'!G13</f>
        <v>0</v>
      </c>
      <c r="I12" s="18">
        <f>'👥 MEMBRES'!H13</f>
        <v>0</v>
      </c>
      <c r="J12" s="18">
        <f>'👥 MEMBRES'!M13</f>
        <v>0</v>
      </c>
      <c r="K12" s="18">
        <f>'👥 MEMBRES'!L13</f>
        <v>0</v>
      </c>
      <c r="L12" s="18">
        <f>'👥 MEMBRES'!M13</f>
        <v>0</v>
      </c>
    </row>
    <row r="13" spans="1:12" ht="21.75" customHeight="1" x14ac:dyDescent="0.3">
      <c r="A13" s="43">
        <v>10</v>
      </c>
      <c r="B13" s="28" t="str">
        <f>'👥 MEMBRES'!A14</f>
        <v>TSP-2027-010</v>
      </c>
      <c r="C13" s="26">
        <f>'👥 MEMBRES'!B14</f>
        <v>0</v>
      </c>
      <c r="D13" s="26">
        <f>'👥 MEMBRES'!C14</f>
        <v>0</v>
      </c>
      <c r="E13" s="26">
        <f>'👥 MEMBRES'!D14</f>
        <v>0</v>
      </c>
      <c r="F13" s="26">
        <f>'👥 MEMBRES'!E14</f>
        <v>0</v>
      </c>
      <c r="G13" s="26">
        <f>'👥 MEMBRES'!F14</f>
        <v>0</v>
      </c>
      <c r="H13" s="26">
        <f>'👥 MEMBRES'!G14</f>
        <v>0</v>
      </c>
      <c r="I13" s="26">
        <f>'👥 MEMBRES'!H14</f>
        <v>0</v>
      </c>
      <c r="J13" s="26">
        <f>'👥 MEMBRES'!M14</f>
        <v>0</v>
      </c>
      <c r="K13" s="26">
        <f>'👥 MEMBRES'!L14</f>
        <v>0</v>
      </c>
      <c r="L13" s="26">
        <f>'👥 MEMBRES'!M14</f>
        <v>0</v>
      </c>
    </row>
    <row r="14" spans="1:12" ht="21.75" customHeight="1" x14ac:dyDescent="0.3">
      <c r="A14" s="42">
        <v>11</v>
      </c>
      <c r="B14" s="25" t="str">
        <f>'👥 MEMBRES'!A15</f>
        <v>TSP-2027-011</v>
      </c>
      <c r="C14" s="18">
        <f>'👥 MEMBRES'!B15</f>
        <v>0</v>
      </c>
      <c r="D14" s="18">
        <f>'👥 MEMBRES'!C15</f>
        <v>0</v>
      </c>
      <c r="E14" s="18">
        <f>'👥 MEMBRES'!D15</f>
        <v>0</v>
      </c>
      <c r="F14" s="18">
        <f>'👥 MEMBRES'!E15</f>
        <v>0</v>
      </c>
      <c r="G14" s="18">
        <f>'👥 MEMBRES'!F15</f>
        <v>0</v>
      </c>
      <c r="H14" s="18">
        <f>'👥 MEMBRES'!G15</f>
        <v>0</v>
      </c>
      <c r="I14" s="18">
        <f>'👥 MEMBRES'!H15</f>
        <v>0</v>
      </c>
      <c r="J14" s="18">
        <f>'👥 MEMBRES'!M15</f>
        <v>0</v>
      </c>
      <c r="K14" s="18">
        <f>'👥 MEMBRES'!L15</f>
        <v>0</v>
      </c>
      <c r="L14" s="18">
        <f>'👥 MEMBRES'!M15</f>
        <v>0</v>
      </c>
    </row>
    <row r="15" spans="1:12" ht="21.75" customHeight="1" x14ac:dyDescent="0.3">
      <c r="A15" s="43">
        <v>12</v>
      </c>
      <c r="B15" s="28" t="str">
        <f>'👥 MEMBRES'!A16</f>
        <v>TSP-2027-012</v>
      </c>
      <c r="C15" s="26">
        <f>'👥 MEMBRES'!B16</f>
        <v>0</v>
      </c>
      <c r="D15" s="26">
        <f>'👥 MEMBRES'!C16</f>
        <v>0</v>
      </c>
      <c r="E15" s="26">
        <f>'👥 MEMBRES'!D16</f>
        <v>0</v>
      </c>
      <c r="F15" s="26">
        <f>'👥 MEMBRES'!E16</f>
        <v>0</v>
      </c>
      <c r="G15" s="26">
        <f>'👥 MEMBRES'!F16</f>
        <v>0</v>
      </c>
      <c r="H15" s="26">
        <f>'👥 MEMBRES'!G16</f>
        <v>0</v>
      </c>
      <c r="I15" s="26">
        <f>'👥 MEMBRES'!H16</f>
        <v>0</v>
      </c>
      <c r="J15" s="26">
        <f>'👥 MEMBRES'!M16</f>
        <v>0</v>
      </c>
      <c r="K15" s="26">
        <f>'👥 MEMBRES'!L16</f>
        <v>0</v>
      </c>
      <c r="L15" s="26">
        <f>'👥 MEMBRES'!M16</f>
        <v>0</v>
      </c>
    </row>
    <row r="16" spans="1:12" ht="21.75" customHeight="1" x14ac:dyDescent="0.3">
      <c r="A16" s="42">
        <v>13</v>
      </c>
      <c r="B16" s="25" t="str">
        <f>'👥 MEMBRES'!A17</f>
        <v>TSP-2027-013</v>
      </c>
      <c r="C16" s="18">
        <f>'👥 MEMBRES'!B17</f>
        <v>0</v>
      </c>
      <c r="D16" s="18">
        <f>'👥 MEMBRES'!C17</f>
        <v>0</v>
      </c>
      <c r="E16" s="18">
        <f>'👥 MEMBRES'!D17</f>
        <v>0</v>
      </c>
      <c r="F16" s="18">
        <f>'👥 MEMBRES'!E17</f>
        <v>0</v>
      </c>
      <c r="G16" s="18">
        <f>'👥 MEMBRES'!F17</f>
        <v>0</v>
      </c>
      <c r="H16" s="18">
        <f>'👥 MEMBRES'!G17</f>
        <v>0</v>
      </c>
      <c r="I16" s="18">
        <f>'👥 MEMBRES'!H17</f>
        <v>0</v>
      </c>
      <c r="J16" s="18">
        <f>'👥 MEMBRES'!M17</f>
        <v>0</v>
      </c>
      <c r="K16" s="18">
        <f>'👥 MEMBRES'!L17</f>
        <v>0</v>
      </c>
      <c r="L16" s="18">
        <f>'👥 MEMBRES'!M17</f>
        <v>0</v>
      </c>
    </row>
    <row r="17" spans="1:12" ht="21.75" customHeight="1" x14ac:dyDescent="0.3">
      <c r="A17" s="43">
        <v>14</v>
      </c>
      <c r="B17" s="28" t="str">
        <f>'👥 MEMBRES'!A18</f>
        <v>TSP-2027-014</v>
      </c>
      <c r="C17" s="26">
        <f>'👥 MEMBRES'!B18</f>
        <v>0</v>
      </c>
      <c r="D17" s="26">
        <f>'👥 MEMBRES'!C18</f>
        <v>0</v>
      </c>
      <c r="E17" s="26">
        <f>'👥 MEMBRES'!D18</f>
        <v>0</v>
      </c>
      <c r="F17" s="26">
        <f>'👥 MEMBRES'!E18</f>
        <v>0</v>
      </c>
      <c r="G17" s="26">
        <f>'👥 MEMBRES'!F18</f>
        <v>0</v>
      </c>
      <c r="H17" s="26">
        <f>'👥 MEMBRES'!G18</f>
        <v>0</v>
      </c>
      <c r="I17" s="26">
        <f>'👥 MEMBRES'!H18</f>
        <v>0</v>
      </c>
      <c r="J17" s="26">
        <f>'👥 MEMBRES'!M18</f>
        <v>0</v>
      </c>
      <c r="K17" s="26">
        <f>'👥 MEMBRES'!L18</f>
        <v>0</v>
      </c>
      <c r="L17" s="26">
        <f>'👥 MEMBRES'!M18</f>
        <v>0</v>
      </c>
    </row>
    <row r="18" spans="1:12" ht="21.75" customHeight="1" x14ac:dyDescent="0.3">
      <c r="A18" s="42">
        <v>15</v>
      </c>
      <c r="B18" s="25" t="str">
        <f>'👥 MEMBRES'!A19</f>
        <v>TSP-2027-015</v>
      </c>
      <c r="C18" s="18">
        <f>'👥 MEMBRES'!B19</f>
        <v>0</v>
      </c>
      <c r="D18" s="18">
        <f>'👥 MEMBRES'!C19</f>
        <v>0</v>
      </c>
      <c r="E18" s="18">
        <f>'👥 MEMBRES'!D19</f>
        <v>0</v>
      </c>
      <c r="F18" s="18">
        <f>'👥 MEMBRES'!E19</f>
        <v>0</v>
      </c>
      <c r="G18" s="18">
        <f>'👥 MEMBRES'!F19</f>
        <v>0</v>
      </c>
      <c r="H18" s="18">
        <f>'👥 MEMBRES'!G19</f>
        <v>0</v>
      </c>
      <c r="I18" s="18">
        <f>'👥 MEMBRES'!H19</f>
        <v>0</v>
      </c>
      <c r="J18" s="18">
        <f>'👥 MEMBRES'!M19</f>
        <v>0</v>
      </c>
      <c r="K18" s="18">
        <f>'👥 MEMBRES'!L19</f>
        <v>0</v>
      </c>
      <c r="L18" s="18">
        <f>'👥 MEMBRES'!M19</f>
        <v>0</v>
      </c>
    </row>
    <row r="19" spans="1:12" ht="21.75" customHeight="1" x14ac:dyDescent="0.3">
      <c r="A19" s="43">
        <v>16</v>
      </c>
      <c r="B19" s="28" t="str">
        <f>'👥 MEMBRES'!A20</f>
        <v>TSP-2027-016</v>
      </c>
      <c r="C19" s="26">
        <f>'👥 MEMBRES'!B20</f>
        <v>0</v>
      </c>
      <c r="D19" s="26">
        <f>'👥 MEMBRES'!C20</f>
        <v>0</v>
      </c>
      <c r="E19" s="26">
        <f>'👥 MEMBRES'!D20</f>
        <v>0</v>
      </c>
      <c r="F19" s="26">
        <f>'👥 MEMBRES'!E20</f>
        <v>0</v>
      </c>
      <c r="G19" s="26">
        <f>'👥 MEMBRES'!F20</f>
        <v>0</v>
      </c>
      <c r="H19" s="26">
        <f>'👥 MEMBRES'!G20</f>
        <v>0</v>
      </c>
      <c r="I19" s="26">
        <f>'👥 MEMBRES'!H20</f>
        <v>0</v>
      </c>
      <c r="J19" s="26">
        <f>'👥 MEMBRES'!M20</f>
        <v>0</v>
      </c>
      <c r="K19" s="26">
        <f>'👥 MEMBRES'!L20</f>
        <v>0</v>
      </c>
      <c r="L19" s="26">
        <f>'👥 MEMBRES'!M20</f>
        <v>0</v>
      </c>
    </row>
    <row r="20" spans="1:12" ht="21.75" customHeight="1" x14ac:dyDescent="0.3">
      <c r="A20" s="42">
        <v>17</v>
      </c>
      <c r="B20" s="25" t="str">
        <f>'👥 MEMBRES'!A21</f>
        <v>TSP-2027-017</v>
      </c>
      <c r="C20" s="18">
        <f>'👥 MEMBRES'!B21</f>
        <v>0</v>
      </c>
      <c r="D20" s="18">
        <f>'👥 MEMBRES'!C21</f>
        <v>0</v>
      </c>
      <c r="E20" s="18">
        <f>'👥 MEMBRES'!D21</f>
        <v>0</v>
      </c>
      <c r="F20" s="18">
        <f>'👥 MEMBRES'!E21</f>
        <v>0</v>
      </c>
      <c r="G20" s="18">
        <f>'👥 MEMBRES'!F21</f>
        <v>0</v>
      </c>
      <c r="H20" s="18">
        <f>'👥 MEMBRES'!G21</f>
        <v>0</v>
      </c>
      <c r="I20" s="18">
        <f>'👥 MEMBRES'!H21</f>
        <v>0</v>
      </c>
      <c r="J20" s="18">
        <f>'👥 MEMBRES'!M21</f>
        <v>0</v>
      </c>
      <c r="K20" s="18">
        <f>'👥 MEMBRES'!L21</f>
        <v>0</v>
      </c>
      <c r="L20" s="18">
        <f>'👥 MEMBRES'!M21</f>
        <v>0</v>
      </c>
    </row>
    <row r="21" spans="1:12" ht="21.75" customHeight="1" x14ac:dyDescent="0.3">
      <c r="A21" s="43">
        <v>18</v>
      </c>
      <c r="B21" s="28" t="str">
        <f>'👥 MEMBRES'!A22</f>
        <v>TSP-2027-018</v>
      </c>
      <c r="C21" s="26">
        <f>'👥 MEMBRES'!B22</f>
        <v>0</v>
      </c>
      <c r="D21" s="26">
        <f>'👥 MEMBRES'!C22</f>
        <v>0</v>
      </c>
      <c r="E21" s="26">
        <f>'👥 MEMBRES'!D22</f>
        <v>0</v>
      </c>
      <c r="F21" s="26">
        <f>'👥 MEMBRES'!E22</f>
        <v>0</v>
      </c>
      <c r="G21" s="26">
        <f>'👥 MEMBRES'!F22</f>
        <v>0</v>
      </c>
      <c r="H21" s="26">
        <f>'👥 MEMBRES'!G22</f>
        <v>0</v>
      </c>
      <c r="I21" s="26">
        <f>'👥 MEMBRES'!H22</f>
        <v>0</v>
      </c>
      <c r="J21" s="26">
        <f>'👥 MEMBRES'!M22</f>
        <v>0</v>
      </c>
      <c r="K21" s="26">
        <f>'👥 MEMBRES'!L22</f>
        <v>0</v>
      </c>
      <c r="L21" s="26">
        <f>'👥 MEMBRES'!M22</f>
        <v>0</v>
      </c>
    </row>
    <row r="22" spans="1:12" ht="21.75" customHeight="1" x14ac:dyDescent="0.3">
      <c r="A22" s="42">
        <v>19</v>
      </c>
      <c r="B22" s="25" t="str">
        <f>'👥 MEMBRES'!A23</f>
        <v>TSP-2027-019</v>
      </c>
      <c r="C22" s="18">
        <f>'👥 MEMBRES'!B23</f>
        <v>0</v>
      </c>
      <c r="D22" s="18">
        <f>'👥 MEMBRES'!C23</f>
        <v>0</v>
      </c>
      <c r="E22" s="18">
        <f>'👥 MEMBRES'!D23</f>
        <v>0</v>
      </c>
      <c r="F22" s="18">
        <f>'👥 MEMBRES'!E23</f>
        <v>0</v>
      </c>
      <c r="G22" s="18">
        <f>'👥 MEMBRES'!F23</f>
        <v>0</v>
      </c>
      <c r="H22" s="18">
        <f>'👥 MEMBRES'!G23</f>
        <v>0</v>
      </c>
      <c r="I22" s="18">
        <f>'👥 MEMBRES'!H23</f>
        <v>0</v>
      </c>
      <c r="J22" s="18">
        <f>'👥 MEMBRES'!M23</f>
        <v>0</v>
      </c>
      <c r="K22" s="18">
        <f>'👥 MEMBRES'!L23</f>
        <v>0</v>
      </c>
      <c r="L22" s="18">
        <f>'👥 MEMBRES'!M23</f>
        <v>0</v>
      </c>
    </row>
    <row r="23" spans="1:12" ht="21.75" customHeight="1" x14ac:dyDescent="0.3">
      <c r="A23" s="43">
        <v>20</v>
      </c>
      <c r="B23" s="28" t="str">
        <f>'👥 MEMBRES'!A24</f>
        <v>TSP-2027-020</v>
      </c>
      <c r="C23" s="26">
        <f>'👥 MEMBRES'!B24</f>
        <v>0</v>
      </c>
      <c r="D23" s="26">
        <f>'👥 MEMBRES'!C24</f>
        <v>0</v>
      </c>
      <c r="E23" s="26">
        <f>'👥 MEMBRES'!D24</f>
        <v>0</v>
      </c>
      <c r="F23" s="26">
        <f>'👥 MEMBRES'!E24</f>
        <v>0</v>
      </c>
      <c r="G23" s="26">
        <f>'👥 MEMBRES'!F24</f>
        <v>0</v>
      </c>
      <c r="H23" s="26">
        <f>'👥 MEMBRES'!G24</f>
        <v>0</v>
      </c>
      <c r="I23" s="26">
        <f>'👥 MEMBRES'!H24</f>
        <v>0</v>
      </c>
      <c r="J23" s="26">
        <f>'👥 MEMBRES'!M24</f>
        <v>0</v>
      </c>
      <c r="K23" s="26">
        <f>'👥 MEMBRES'!L24</f>
        <v>0</v>
      </c>
      <c r="L23" s="26">
        <f>'👥 MEMBRES'!M24</f>
        <v>0</v>
      </c>
    </row>
    <row r="24" spans="1:12" ht="21.75" customHeight="1" x14ac:dyDescent="0.3">
      <c r="A24" s="42">
        <v>21</v>
      </c>
      <c r="B24" s="25" t="str">
        <f>'👥 MEMBRES'!A25</f>
        <v>TSP-2027-021</v>
      </c>
      <c r="C24" s="18">
        <f>'👥 MEMBRES'!B25</f>
        <v>0</v>
      </c>
      <c r="D24" s="18">
        <f>'👥 MEMBRES'!C25</f>
        <v>0</v>
      </c>
      <c r="E24" s="18">
        <f>'👥 MEMBRES'!D25</f>
        <v>0</v>
      </c>
      <c r="F24" s="18">
        <f>'👥 MEMBRES'!E25</f>
        <v>0</v>
      </c>
      <c r="G24" s="18">
        <f>'👥 MEMBRES'!F25</f>
        <v>0</v>
      </c>
      <c r="H24" s="18">
        <f>'👥 MEMBRES'!G25</f>
        <v>0</v>
      </c>
      <c r="I24" s="18">
        <f>'👥 MEMBRES'!H25</f>
        <v>0</v>
      </c>
      <c r="J24" s="18">
        <f>'👥 MEMBRES'!M25</f>
        <v>0</v>
      </c>
      <c r="K24" s="18">
        <f>'👥 MEMBRES'!L25</f>
        <v>0</v>
      </c>
      <c r="L24" s="18">
        <f>'👥 MEMBRES'!M25</f>
        <v>0</v>
      </c>
    </row>
    <row r="25" spans="1:12" ht="21.75" customHeight="1" x14ac:dyDescent="0.3">
      <c r="A25" s="43">
        <v>22</v>
      </c>
      <c r="B25" s="28" t="str">
        <f>'👥 MEMBRES'!A26</f>
        <v>TSP-2027-022</v>
      </c>
      <c r="C25" s="26">
        <f>'👥 MEMBRES'!B26</f>
        <v>0</v>
      </c>
      <c r="D25" s="26">
        <f>'👥 MEMBRES'!C26</f>
        <v>0</v>
      </c>
      <c r="E25" s="26">
        <f>'👥 MEMBRES'!D26</f>
        <v>0</v>
      </c>
      <c r="F25" s="26">
        <f>'👥 MEMBRES'!E26</f>
        <v>0</v>
      </c>
      <c r="G25" s="26">
        <f>'👥 MEMBRES'!F26</f>
        <v>0</v>
      </c>
      <c r="H25" s="26">
        <f>'👥 MEMBRES'!G26</f>
        <v>0</v>
      </c>
      <c r="I25" s="26">
        <f>'👥 MEMBRES'!H26</f>
        <v>0</v>
      </c>
      <c r="J25" s="26">
        <f>'👥 MEMBRES'!M26</f>
        <v>0</v>
      </c>
      <c r="K25" s="26">
        <f>'👥 MEMBRES'!L26</f>
        <v>0</v>
      </c>
      <c r="L25" s="26">
        <f>'👥 MEMBRES'!M26</f>
        <v>0</v>
      </c>
    </row>
    <row r="26" spans="1:12" ht="21.75" customHeight="1" x14ac:dyDescent="0.3">
      <c r="A26" s="42">
        <v>23</v>
      </c>
      <c r="B26" s="25" t="str">
        <f>'👥 MEMBRES'!A27</f>
        <v>TSP-2027-023</v>
      </c>
      <c r="C26" s="18">
        <f>'👥 MEMBRES'!B27</f>
        <v>0</v>
      </c>
      <c r="D26" s="18">
        <f>'👥 MEMBRES'!C27</f>
        <v>0</v>
      </c>
      <c r="E26" s="18">
        <f>'👥 MEMBRES'!D27</f>
        <v>0</v>
      </c>
      <c r="F26" s="18">
        <f>'👥 MEMBRES'!E27</f>
        <v>0</v>
      </c>
      <c r="G26" s="18">
        <f>'👥 MEMBRES'!F27</f>
        <v>0</v>
      </c>
      <c r="H26" s="18">
        <f>'👥 MEMBRES'!G27</f>
        <v>0</v>
      </c>
      <c r="I26" s="18">
        <f>'👥 MEMBRES'!H27</f>
        <v>0</v>
      </c>
      <c r="J26" s="18">
        <f>'👥 MEMBRES'!M27</f>
        <v>0</v>
      </c>
      <c r="K26" s="18">
        <f>'👥 MEMBRES'!L27</f>
        <v>0</v>
      </c>
      <c r="L26" s="18">
        <f>'👥 MEMBRES'!M27</f>
        <v>0</v>
      </c>
    </row>
    <row r="27" spans="1:12" ht="21.75" customHeight="1" x14ac:dyDescent="0.3">
      <c r="A27" s="43">
        <v>24</v>
      </c>
      <c r="B27" s="28" t="str">
        <f>'👥 MEMBRES'!A28</f>
        <v>TSP-2027-024</v>
      </c>
      <c r="C27" s="26">
        <f>'👥 MEMBRES'!B28</f>
        <v>0</v>
      </c>
      <c r="D27" s="26">
        <f>'👥 MEMBRES'!C28</f>
        <v>0</v>
      </c>
      <c r="E27" s="26">
        <f>'👥 MEMBRES'!D28</f>
        <v>0</v>
      </c>
      <c r="F27" s="26">
        <f>'👥 MEMBRES'!E28</f>
        <v>0</v>
      </c>
      <c r="G27" s="26">
        <f>'👥 MEMBRES'!F28</f>
        <v>0</v>
      </c>
      <c r="H27" s="26">
        <f>'👥 MEMBRES'!G28</f>
        <v>0</v>
      </c>
      <c r="I27" s="26">
        <f>'👥 MEMBRES'!H28</f>
        <v>0</v>
      </c>
      <c r="J27" s="26">
        <f>'👥 MEMBRES'!M28</f>
        <v>0</v>
      </c>
      <c r="K27" s="26">
        <f>'👥 MEMBRES'!L28</f>
        <v>0</v>
      </c>
      <c r="L27" s="26">
        <f>'👥 MEMBRES'!M28</f>
        <v>0</v>
      </c>
    </row>
    <row r="28" spans="1:12" ht="21.75" customHeight="1" x14ac:dyDescent="0.3">
      <c r="A28" s="42">
        <v>25</v>
      </c>
      <c r="B28" s="25" t="str">
        <f>'👥 MEMBRES'!A29</f>
        <v>TSP-2027-025</v>
      </c>
      <c r="C28" s="18">
        <f>'👥 MEMBRES'!B29</f>
        <v>0</v>
      </c>
      <c r="D28" s="18">
        <f>'👥 MEMBRES'!C29</f>
        <v>0</v>
      </c>
      <c r="E28" s="18">
        <f>'👥 MEMBRES'!D29</f>
        <v>0</v>
      </c>
      <c r="F28" s="18">
        <f>'👥 MEMBRES'!E29</f>
        <v>0</v>
      </c>
      <c r="G28" s="18">
        <f>'👥 MEMBRES'!F29</f>
        <v>0</v>
      </c>
      <c r="H28" s="18">
        <f>'👥 MEMBRES'!G29</f>
        <v>0</v>
      </c>
      <c r="I28" s="18">
        <f>'👥 MEMBRES'!H29</f>
        <v>0</v>
      </c>
      <c r="J28" s="18">
        <f>'👥 MEMBRES'!M29</f>
        <v>0</v>
      </c>
      <c r="K28" s="18">
        <f>'👥 MEMBRES'!L29</f>
        <v>0</v>
      </c>
      <c r="L28" s="18">
        <f>'👥 MEMBRES'!M29</f>
        <v>0</v>
      </c>
    </row>
    <row r="29" spans="1:12" ht="21.75" customHeight="1" x14ac:dyDescent="0.3">
      <c r="A29" s="43">
        <v>26</v>
      </c>
      <c r="B29" s="28" t="str">
        <f>'👥 MEMBRES'!A30</f>
        <v>TSP-2027-026</v>
      </c>
      <c r="C29" s="26">
        <f>'👥 MEMBRES'!B30</f>
        <v>0</v>
      </c>
      <c r="D29" s="26">
        <f>'👥 MEMBRES'!C30</f>
        <v>0</v>
      </c>
      <c r="E29" s="26">
        <f>'👥 MEMBRES'!D30</f>
        <v>0</v>
      </c>
      <c r="F29" s="26">
        <f>'👥 MEMBRES'!E30</f>
        <v>0</v>
      </c>
      <c r="G29" s="26">
        <f>'👥 MEMBRES'!F30</f>
        <v>0</v>
      </c>
      <c r="H29" s="26">
        <f>'👥 MEMBRES'!G30</f>
        <v>0</v>
      </c>
      <c r="I29" s="26">
        <f>'👥 MEMBRES'!H30</f>
        <v>0</v>
      </c>
      <c r="J29" s="26">
        <f>'👥 MEMBRES'!M30</f>
        <v>0</v>
      </c>
      <c r="K29" s="26">
        <f>'👥 MEMBRES'!L30</f>
        <v>0</v>
      </c>
      <c r="L29" s="26">
        <f>'👥 MEMBRES'!M30</f>
        <v>0</v>
      </c>
    </row>
    <row r="30" spans="1:12" ht="21.75" customHeight="1" x14ac:dyDescent="0.3">
      <c r="A30" s="42">
        <v>27</v>
      </c>
      <c r="B30" s="25" t="str">
        <f>'👥 MEMBRES'!A31</f>
        <v>TSP-2027-027</v>
      </c>
      <c r="C30" s="18">
        <f>'👥 MEMBRES'!B31</f>
        <v>0</v>
      </c>
      <c r="D30" s="18">
        <f>'👥 MEMBRES'!C31</f>
        <v>0</v>
      </c>
      <c r="E30" s="18">
        <f>'👥 MEMBRES'!D31</f>
        <v>0</v>
      </c>
      <c r="F30" s="18">
        <f>'👥 MEMBRES'!E31</f>
        <v>0</v>
      </c>
      <c r="G30" s="18">
        <f>'👥 MEMBRES'!F31</f>
        <v>0</v>
      </c>
      <c r="H30" s="18">
        <f>'👥 MEMBRES'!G31</f>
        <v>0</v>
      </c>
      <c r="I30" s="18">
        <f>'👥 MEMBRES'!H31</f>
        <v>0</v>
      </c>
      <c r="J30" s="18">
        <f>'👥 MEMBRES'!M31</f>
        <v>0</v>
      </c>
      <c r="K30" s="18">
        <f>'👥 MEMBRES'!L31</f>
        <v>0</v>
      </c>
      <c r="L30" s="18">
        <f>'👥 MEMBRES'!M31</f>
        <v>0</v>
      </c>
    </row>
    <row r="31" spans="1:12" ht="21.75" customHeight="1" x14ac:dyDescent="0.3">
      <c r="A31" s="43">
        <v>28</v>
      </c>
      <c r="B31" s="28" t="str">
        <f>'👥 MEMBRES'!A32</f>
        <v>TSP-2027-028</v>
      </c>
      <c r="C31" s="26">
        <f>'👥 MEMBRES'!B32</f>
        <v>0</v>
      </c>
      <c r="D31" s="26">
        <f>'👥 MEMBRES'!C32</f>
        <v>0</v>
      </c>
      <c r="E31" s="26">
        <f>'👥 MEMBRES'!D32</f>
        <v>0</v>
      </c>
      <c r="F31" s="26">
        <f>'👥 MEMBRES'!E32</f>
        <v>0</v>
      </c>
      <c r="G31" s="26">
        <f>'👥 MEMBRES'!F32</f>
        <v>0</v>
      </c>
      <c r="H31" s="26">
        <f>'👥 MEMBRES'!G32</f>
        <v>0</v>
      </c>
      <c r="I31" s="26">
        <f>'👥 MEMBRES'!H32</f>
        <v>0</v>
      </c>
      <c r="J31" s="26">
        <f>'👥 MEMBRES'!M32</f>
        <v>0</v>
      </c>
      <c r="K31" s="26">
        <f>'👥 MEMBRES'!L32</f>
        <v>0</v>
      </c>
      <c r="L31" s="26">
        <f>'👥 MEMBRES'!M32</f>
        <v>0</v>
      </c>
    </row>
    <row r="32" spans="1:12" ht="21.75" customHeight="1" x14ac:dyDescent="0.3">
      <c r="A32" s="42">
        <v>29</v>
      </c>
      <c r="B32" s="25" t="str">
        <f>'👥 MEMBRES'!A33</f>
        <v>TSP-2027-029</v>
      </c>
      <c r="C32" s="18">
        <f>'👥 MEMBRES'!B33</f>
        <v>0</v>
      </c>
      <c r="D32" s="18">
        <f>'👥 MEMBRES'!C33</f>
        <v>0</v>
      </c>
      <c r="E32" s="18">
        <f>'👥 MEMBRES'!D33</f>
        <v>0</v>
      </c>
      <c r="F32" s="18">
        <f>'👥 MEMBRES'!E33</f>
        <v>0</v>
      </c>
      <c r="G32" s="18">
        <f>'👥 MEMBRES'!F33</f>
        <v>0</v>
      </c>
      <c r="H32" s="18">
        <f>'👥 MEMBRES'!G33</f>
        <v>0</v>
      </c>
      <c r="I32" s="18">
        <f>'👥 MEMBRES'!H33</f>
        <v>0</v>
      </c>
      <c r="J32" s="18">
        <f>'👥 MEMBRES'!M33</f>
        <v>0</v>
      </c>
      <c r="K32" s="18">
        <f>'👥 MEMBRES'!L33</f>
        <v>0</v>
      </c>
      <c r="L32" s="18">
        <f>'👥 MEMBRES'!M33</f>
        <v>0</v>
      </c>
    </row>
    <row r="33" spans="1:12" ht="21.75" customHeight="1" x14ac:dyDescent="0.3">
      <c r="A33" s="43">
        <v>30</v>
      </c>
      <c r="B33" s="28" t="str">
        <f>'👥 MEMBRES'!A34</f>
        <v>TSP-2027-030</v>
      </c>
      <c r="C33" s="26">
        <f>'👥 MEMBRES'!B34</f>
        <v>0</v>
      </c>
      <c r="D33" s="26">
        <f>'👥 MEMBRES'!C34</f>
        <v>0</v>
      </c>
      <c r="E33" s="26">
        <f>'👥 MEMBRES'!D34</f>
        <v>0</v>
      </c>
      <c r="F33" s="26">
        <f>'👥 MEMBRES'!E34</f>
        <v>0</v>
      </c>
      <c r="G33" s="26">
        <f>'👥 MEMBRES'!F34</f>
        <v>0</v>
      </c>
      <c r="H33" s="26">
        <f>'👥 MEMBRES'!G34</f>
        <v>0</v>
      </c>
      <c r="I33" s="26">
        <f>'👥 MEMBRES'!H34</f>
        <v>0</v>
      </c>
      <c r="J33" s="26">
        <f>'👥 MEMBRES'!M34</f>
        <v>0</v>
      </c>
      <c r="K33" s="26">
        <f>'👥 MEMBRES'!L34</f>
        <v>0</v>
      </c>
      <c r="L33" s="26">
        <f>'👥 MEMBRES'!M34</f>
        <v>0</v>
      </c>
    </row>
    <row r="34" spans="1:12" ht="21.75" customHeight="1" x14ac:dyDescent="0.3">
      <c r="A34" s="42">
        <v>31</v>
      </c>
      <c r="B34" s="25" t="str">
        <f>'👥 MEMBRES'!A35</f>
        <v>TSP-2027-031</v>
      </c>
      <c r="C34" s="18">
        <f>'👥 MEMBRES'!B35</f>
        <v>0</v>
      </c>
      <c r="D34" s="18">
        <f>'👥 MEMBRES'!C35</f>
        <v>0</v>
      </c>
      <c r="E34" s="18">
        <f>'👥 MEMBRES'!D35</f>
        <v>0</v>
      </c>
      <c r="F34" s="18">
        <f>'👥 MEMBRES'!E35</f>
        <v>0</v>
      </c>
      <c r="G34" s="18">
        <f>'👥 MEMBRES'!F35</f>
        <v>0</v>
      </c>
      <c r="H34" s="18">
        <f>'👥 MEMBRES'!G35</f>
        <v>0</v>
      </c>
      <c r="I34" s="18">
        <f>'👥 MEMBRES'!H35</f>
        <v>0</v>
      </c>
      <c r="J34" s="18">
        <f>'👥 MEMBRES'!M35</f>
        <v>0</v>
      </c>
      <c r="K34" s="18">
        <f>'👥 MEMBRES'!L35</f>
        <v>0</v>
      </c>
      <c r="L34" s="18">
        <f>'👥 MEMBRES'!M35</f>
        <v>0</v>
      </c>
    </row>
    <row r="35" spans="1:12" ht="21.75" customHeight="1" x14ac:dyDescent="0.3">
      <c r="A35" s="43">
        <v>32</v>
      </c>
      <c r="B35" s="28" t="str">
        <f>'👥 MEMBRES'!A36</f>
        <v>TSP-2027-032</v>
      </c>
      <c r="C35" s="26">
        <f>'👥 MEMBRES'!B36</f>
        <v>0</v>
      </c>
      <c r="D35" s="26">
        <f>'👥 MEMBRES'!C36</f>
        <v>0</v>
      </c>
      <c r="E35" s="26">
        <f>'👥 MEMBRES'!D36</f>
        <v>0</v>
      </c>
      <c r="F35" s="26">
        <f>'👥 MEMBRES'!E36</f>
        <v>0</v>
      </c>
      <c r="G35" s="26">
        <f>'👥 MEMBRES'!F36</f>
        <v>0</v>
      </c>
      <c r="H35" s="26">
        <f>'👥 MEMBRES'!G36</f>
        <v>0</v>
      </c>
      <c r="I35" s="26">
        <f>'👥 MEMBRES'!H36</f>
        <v>0</v>
      </c>
      <c r="J35" s="26">
        <f>'👥 MEMBRES'!M36</f>
        <v>0</v>
      </c>
      <c r="K35" s="26">
        <f>'👥 MEMBRES'!L36</f>
        <v>0</v>
      </c>
      <c r="L35" s="26">
        <f>'👥 MEMBRES'!M36</f>
        <v>0</v>
      </c>
    </row>
    <row r="36" spans="1:12" ht="21.75" customHeight="1" x14ac:dyDescent="0.3">
      <c r="A36" s="42">
        <v>33</v>
      </c>
      <c r="B36" s="25" t="str">
        <f>'👥 MEMBRES'!A37</f>
        <v>TSP-2027-033</v>
      </c>
      <c r="C36" s="18">
        <f>'👥 MEMBRES'!B37</f>
        <v>0</v>
      </c>
      <c r="D36" s="18">
        <f>'👥 MEMBRES'!C37</f>
        <v>0</v>
      </c>
      <c r="E36" s="18">
        <f>'👥 MEMBRES'!D37</f>
        <v>0</v>
      </c>
      <c r="F36" s="18">
        <f>'👥 MEMBRES'!E37</f>
        <v>0</v>
      </c>
      <c r="G36" s="18">
        <f>'👥 MEMBRES'!F37</f>
        <v>0</v>
      </c>
      <c r="H36" s="18">
        <f>'👥 MEMBRES'!G37</f>
        <v>0</v>
      </c>
      <c r="I36" s="18">
        <f>'👥 MEMBRES'!H37</f>
        <v>0</v>
      </c>
      <c r="J36" s="18">
        <f>'👥 MEMBRES'!M37</f>
        <v>0</v>
      </c>
      <c r="K36" s="18">
        <f>'👥 MEMBRES'!L37</f>
        <v>0</v>
      </c>
      <c r="L36" s="18">
        <f>'👥 MEMBRES'!M37</f>
        <v>0</v>
      </c>
    </row>
    <row r="37" spans="1:12" ht="21.75" customHeight="1" x14ac:dyDescent="0.3">
      <c r="A37" s="43">
        <v>34</v>
      </c>
      <c r="B37" s="28" t="str">
        <f>'👥 MEMBRES'!A38</f>
        <v>TSP-2027-034</v>
      </c>
      <c r="C37" s="26">
        <f>'👥 MEMBRES'!B38</f>
        <v>0</v>
      </c>
      <c r="D37" s="26">
        <f>'👥 MEMBRES'!C38</f>
        <v>0</v>
      </c>
      <c r="E37" s="26">
        <f>'👥 MEMBRES'!D38</f>
        <v>0</v>
      </c>
      <c r="F37" s="26">
        <f>'👥 MEMBRES'!E38</f>
        <v>0</v>
      </c>
      <c r="G37" s="26">
        <f>'👥 MEMBRES'!F38</f>
        <v>0</v>
      </c>
      <c r="H37" s="26">
        <f>'👥 MEMBRES'!G38</f>
        <v>0</v>
      </c>
      <c r="I37" s="26">
        <f>'👥 MEMBRES'!H38</f>
        <v>0</v>
      </c>
      <c r="J37" s="26">
        <f>'👥 MEMBRES'!M38</f>
        <v>0</v>
      </c>
      <c r="K37" s="26">
        <f>'👥 MEMBRES'!L38</f>
        <v>0</v>
      </c>
      <c r="L37" s="26">
        <f>'👥 MEMBRES'!M38</f>
        <v>0</v>
      </c>
    </row>
    <row r="38" spans="1:12" ht="21.75" customHeight="1" x14ac:dyDescent="0.3">
      <c r="A38" s="42">
        <v>35</v>
      </c>
      <c r="B38" s="25" t="str">
        <f>'👥 MEMBRES'!A39</f>
        <v>TSP-2027-035</v>
      </c>
      <c r="C38" s="18">
        <f>'👥 MEMBRES'!B39</f>
        <v>0</v>
      </c>
      <c r="D38" s="18">
        <f>'👥 MEMBRES'!C39</f>
        <v>0</v>
      </c>
      <c r="E38" s="18">
        <f>'👥 MEMBRES'!D39</f>
        <v>0</v>
      </c>
      <c r="F38" s="18">
        <f>'👥 MEMBRES'!E39</f>
        <v>0</v>
      </c>
      <c r="G38" s="18">
        <f>'👥 MEMBRES'!F39</f>
        <v>0</v>
      </c>
      <c r="H38" s="18">
        <f>'👥 MEMBRES'!G39</f>
        <v>0</v>
      </c>
      <c r="I38" s="18">
        <f>'👥 MEMBRES'!H39</f>
        <v>0</v>
      </c>
      <c r="J38" s="18">
        <f>'👥 MEMBRES'!M39</f>
        <v>0</v>
      </c>
      <c r="K38" s="18">
        <f>'👥 MEMBRES'!L39</f>
        <v>0</v>
      </c>
      <c r="L38" s="18">
        <f>'👥 MEMBRES'!M39</f>
        <v>0</v>
      </c>
    </row>
    <row r="39" spans="1:12" ht="21.75" customHeight="1" x14ac:dyDescent="0.3">
      <c r="A39" s="43">
        <v>36</v>
      </c>
      <c r="B39" s="28" t="str">
        <f>'👥 MEMBRES'!A40</f>
        <v>TSP-2027-036</v>
      </c>
      <c r="C39" s="26">
        <f>'👥 MEMBRES'!B40</f>
        <v>0</v>
      </c>
      <c r="D39" s="26">
        <f>'👥 MEMBRES'!C40</f>
        <v>0</v>
      </c>
      <c r="E39" s="26">
        <f>'👥 MEMBRES'!D40</f>
        <v>0</v>
      </c>
      <c r="F39" s="26">
        <f>'👥 MEMBRES'!E40</f>
        <v>0</v>
      </c>
      <c r="G39" s="26">
        <f>'👥 MEMBRES'!F40</f>
        <v>0</v>
      </c>
      <c r="H39" s="26">
        <f>'👥 MEMBRES'!G40</f>
        <v>0</v>
      </c>
      <c r="I39" s="26">
        <f>'👥 MEMBRES'!H40</f>
        <v>0</v>
      </c>
      <c r="J39" s="26">
        <f>'👥 MEMBRES'!M40</f>
        <v>0</v>
      </c>
      <c r="K39" s="26">
        <f>'👥 MEMBRES'!L40</f>
        <v>0</v>
      </c>
      <c r="L39" s="26">
        <f>'👥 MEMBRES'!M40</f>
        <v>0</v>
      </c>
    </row>
    <row r="40" spans="1:12" ht="21.75" customHeight="1" x14ac:dyDescent="0.3">
      <c r="A40" s="42">
        <v>37</v>
      </c>
      <c r="B40" s="25" t="str">
        <f>'👥 MEMBRES'!A41</f>
        <v>TSP-2027-037</v>
      </c>
      <c r="C40" s="18">
        <f>'👥 MEMBRES'!B41</f>
        <v>0</v>
      </c>
      <c r="D40" s="18">
        <f>'👥 MEMBRES'!C41</f>
        <v>0</v>
      </c>
      <c r="E40" s="18">
        <f>'👥 MEMBRES'!D41</f>
        <v>0</v>
      </c>
      <c r="F40" s="18">
        <f>'👥 MEMBRES'!E41</f>
        <v>0</v>
      </c>
      <c r="G40" s="18">
        <f>'👥 MEMBRES'!F41</f>
        <v>0</v>
      </c>
      <c r="H40" s="18">
        <f>'👥 MEMBRES'!G41</f>
        <v>0</v>
      </c>
      <c r="I40" s="18">
        <f>'👥 MEMBRES'!H41</f>
        <v>0</v>
      </c>
      <c r="J40" s="18">
        <f>'👥 MEMBRES'!M41</f>
        <v>0</v>
      </c>
      <c r="K40" s="18">
        <f>'👥 MEMBRES'!L41</f>
        <v>0</v>
      </c>
      <c r="L40" s="18">
        <f>'👥 MEMBRES'!M41</f>
        <v>0</v>
      </c>
    </row>
    <row r="41" spans="1:12" ht="21.75" customHeight="1" x14ac:dyDescent="0.3">
      <c r="A41" s="43">
        <v>38</v>
      </c>
      <c r="B41" s="28" t="str">
        <f>'👥 MEMBRES'!A42</f>
        <v>TSP-2027-038</v>
      </c>
      <c r="C41" s="26">
        <f>'👥 MEMBRES'!B42</f>
        <v>0</v>
      </c>
      <c r="D41" s="26">
        <f>'👥 MEMBRES'!C42</f>
        <v>0</v>
      </c>
      <c r="E41" s="26">
        <f>'👥 MEMBRES'!D42</f>
        <v>0</v>
      </c>
      <c r="F41" s="26">
        <f>'👥 MEMBRES'!E42</f>
        <v>0</v>
      </c>
      <c r="G41" s="26">
        <f>'👥 MEMBRES'!F42</f>
        <v>0</v>
      </c>
      <c r="H41" s="26">
        <f>'👥 MEMBRES'!G42</f>
        <v>0</v>
      </c>
      <c r="I41" s="26">
        <f>'👥 MEMBRES'!H42</f>
        <v>0</v>
      </c>
      <c r="J41" s="26">
        <f>'👥 MEMBRES'!M42</f>
        <v>0</v>
      </c>
      <c r="K41" s="26">
        <f>'👥 MEMBRES'!L42</f>
        <v>0</v>
      </c>
      <c r="L41" s="26">
        <f>'👥 MEMBRES'!M42</f>
        <v>0</v>
      </c>
    </row>
    <row r="42" spans="1:12" ht="21.75" customHeight="1" x14ac:dyDescent="0.3">
      <c r="A42" s="42">
        <v>39</v>
      </c>
      <c r="B42" s="25" t="str">
        <f>'👥 MEMBRES'!A43</f>
        <v>TSP-2027-039</v>
      </c>
      <c r="C42" s="18">
        <f>'👥 MEMBRES'!B43</f>
        <v>0</v>
      </c>
      <c r="D42" s="18">
        <f>'👥 MEMBRES'!C43</f>
        <v>0</v>
      </c>
      <c r="E42" s="18">
        <f>'👥 MEMBRES'!D43</f>
        <v>0</v>
      </c>
      <c r="F42" s="18">
        <f>'👥 MEMBRES'!E43</f>
        <v>0</v>
      </c>
      <c r="G42" s="18">
        <f>'👥 MEMBRES'!F43</f>
        <v>0</v>
      </c>
      <c r="H42" s="18">
        <f>'👥 MEMBRES'!G43</f>
        <v>0</v>
      </c>
      <c r="I42" s="18">
        <f>'👥 MEMBRES'!H43</f>
        <v>0</v>
      </c>
      <c r="J42" s="18">
        <f>'👥 MEMBRES'!M43</f>
        <v>0</v>
      </c>
      <c r="K42" s="18">
        <f>'👥 MEMBRES'!L43</f>
        <v>0</v>
      </c>
      <c r="L42" s="18">
        <f>'👥 MEMBRES'!M43</f>
        <v>0</v>
      </c>
    </row>
    <row r="43" spans="1:12" ht="21.75" customHeight="1" x14ac:dyDescent="0.3">
      <c r="A43" s="43">
        <v>40</v>
      </c>
      <c r="B43" s="28" t="str">
        <f>'👥 MEMBRES'!A44</f>
        <v>TSP-2027-040</v>
      </c>
      <c r="C43" s="26">
        <f>'👥 MEMBRES'!B44</f>
        <v>0</v>
      </c>
      <c r="D43" s="26">
        <f>'👥 MEMBRES'!C44</f>
        <v>0</v>
      </c>
      <c r="E43" s="26">
        <f>'👥 MEMBRES'!D44</f>
        <v>0</v>
      </c>
      <c r="F43" s="26">
        <f>'👥 MEMBRES'!E44</f>
        <v>0</v>
      </c>
      <c r="G43" s="26">
        <f>'👥 MEMBRES'!F44</f>
        <v>0</v>
      </c>
      <c r="H43" s="26">
        <f>'👥 MEMBRES'!G44</f>
        <v>0</v>
      </c>
      <c r="I43" s="26">
        <f>'👥 MEMBRES'!H44</f>
        <v>0</v>
      </c>
      <c r="J43" s="26">
        <f>'👥 MEMBRES'!M44</f>
        <v>0</v>
      </c>
      <c r="K43" s="26">
        <f>'👥 MEMBRES'!L44</f>
        <v>0</v>
      </c>
      <c r="L43" s="26">
        <f>'👥 MEMBRES'!M44</f>
        <v>0</v>
      </c>
    </row>
    <row r="44" spans="1:12" ht="21.75" customHeight="1" x14ac:dyDescent="0.3">
      <c r="A44" s="42">
        <v>41</v>
      </c>
      <c r="B44" s="25" t="str">
        <f>'👥 MEMBRES'!A45</f>
        <v>TSP-2027-041</v>
      </c>
      <c r="C44" s="18">
        <f>'👥 MEMBRES'!B45</f>
        <v>0</v>
      </c>
      <c r="D44" s="18">
        <f>'👥 MEMBRES'!C45</f>
        <v>0</v>
      </c>
      <c r="E44" s="18">
        <f>'👥 MEMBRES'!D45</f>
        <v>0</v>
      </c>
      <c r="F44" s="18">
        <f>'👥 MEMBRES'!E45</f>
        <v>0</v>
      </c>
      <c r="G44" s="18">
        <f>'👥 MEMBRES'!F45</f>
        <v>0</v>
      </c>
      <c r="H44" s="18">
        <f>'👥 MEMBRES'!G45</f>
        <v>0</v>
      </c>
      <c r="I44" s="18">
        <f>'👥 MEMBRES'!H45</f>
        <v>0</v>
      </c>
      <c r="J44" s="18">
        <f>'👥 MEMBRES'!M45</f>
        <v>0</v>
      </c>
      <c r="K44" s="18">
        <f>'👥 MEMBRES'!L45</f>
        <v>0</v>
      </c>
      <c r="L44" s="18">
        <f>'👥 MEMBRES'!M45</f>
        <v>0</v>
      </c>
    </row>
    <row r="45" spans="1:12" ht="21.75" customHeight="1" x14ac:dyDescent="0.3">
      <c r="A45" s="43">
        <v>42</v>
      </c>
      <c r="B45" s="28" t="str">
        <f>'👥 MEMBRES'!A46</f>
        <v>TSP-2027-042</v>
      </c>
      <c r="C45" s="26">
        <f>'👥 MEMBRES'!B46</f>
        <v>0</v>
      </c>
      <c r="D45" s="26">
        <f>'👥 MEMBRES'!C46</f>
        <v>0</v>
      </c>
      <c r="E45" s="26">
        <f>'👥 MEMBRES'!D46</f>
        <v>0</v>
      </c>
      <c r="F45" s="26">
        <f>'👥 MEMBRES'!E46</f>
        <v>0</v>
      </c>
      <c r="G45" s="26">
        <f>'👥 MEMBRES'!F46</f>
        <v>0</v>
      </c>
      <c r="H45" s="26">
        <f>'👥 MEMBRES'!G46</f>
        <v>0</v>
      </c>
      <c r="I45" s="26">
        <f>'👥 MEMBRES'!H46</f>
        <v>0</v>
      </c>
      <c r="J45" s="26">
        <f>'👥 MEMBRES'!M46</f>
        <v>0</v>
      </c>
      <c r="K45" s="26">
        <f>'👥 MEMBRES'!L46</f>
        <v>0</v>
      </c>
      <c r="L45" s="26">
        <f>'👥 MEMBRES'!M46</f>
        <v>0</v>
      </c>
    </row>
    <row r="46" spans="1:12" ht="21.75" customHeight="1" x14ac:dyDescent="0.3">
      <c r="A46" s="42">
        <v>43</v>
      </c>
      <c r="B46" s="25" t="str">
        <f>'👥 MEMBRES'!A47</f>
        <v>TSP-2027-043</v>
      </c>
      <c r="C46" s="18">
        <f>'👥 MEMBRES'!B47</f>
        <v>0</v>
      </c>
      <c r="D46" s="18">
        <f>'👥 MEMBRES'!C47</f>
        <v>0</v>
      </c>
      <c r="E46" s="18">
        <f>'👥 MEMBRES'!D47</f>
        <v>0</v>
      </c>
      <c r="F46" s="18">
        <f>'👥 MEMBRES'!E47</f>
        <v>0</v>
      </c>
      <c r="G46" s="18">
        <f>'👥 MEMBRES'!F47</f>
        <v>0</v>
      </c>
      <c r="H46" s="18">
        <f>'👥 MEMBRES'!G47</f>
        <v>0</v>
      </c>
      <c r="I46" s="18">
        <f>'👥 MEMBRES'!H47</f>
        <v>0</v>
      </c>
      <c r="J46" s="18">
        <f>'👥 MEMBRES'!M47</f>
        <v>0</v>
      </c>
      <c r="K46" s="18">
        <f>'👥 MEMBRES'!L47</f>
        <v>0</v>
      </c>
      <c r="L46" s="18">
        <f>'👥 MEMBRES'!M47</f>
        <v>0</v>
      </c>
    </row>
    <row r="47" spans="1:12" ht="21.75" customHeight="1" x14ac:dyDescent="0.3">
      <c r="A47" s="43">
        <v>44</v>
      </c>
      <c r="B47" s="28" t="str">
        <f>'👥 MEMBRES'!A48</f>
        <v>TSP-2027-044</v>
      </c>
      <c r="C47" s="26">
        <f>'👥 MEMBRES'!B48</f>
        <v>0</v>
      </c>
      <c r="D47" s="26">
        <f>'👥 MEMBRES'!C48</f>
        <v>0</v>
      </c>
      <c r="E47" s="26">
        <f>'👥 MEMBRES'!D48</f>
        <v>0</v>
      </c>
      <c r="F47" s="26">
        <f>'👥 MEMBRES'!E48</f>
        <v>0</v>
      </c>
      <c r="G47" s="26">
        <f>'👥 MEMBRES'!F48</f>
        <v>0</v>
      </c>
      <c r="H47" s="26">
        <f>'👥 MEMBRES'!G48</f>
        <v>0</v>
      </c>
      <c r="I47" s="26">
        <f>'👥 MEMBRES'!H48</f>
        <v>0</v>
      </c>
      <c r="J47" s="26">
        <f>'👥 MEMBRES'!M48</f>
        <v>0</v>
      </c>
      <c r="K47" s="26">
        <f>'👥 MEMBRES'!L48</f>
        <v>0</v>
      </c>
      <c r="L47" s="26">
        <f>'👥 MEMBRES'!M48</f>
        <v>0</v>
      </c>
    </row>
    <row r="48" spans="1:12" ht="21.75" customHeight="1" x14ac:dyDescent="0.3">
      <c r="A48" s="42">
        <v>45</v>
      </c>
      <c r="B48" s="25" t="str">
        <f>'👥 MEMBRES'!A49</f>
        <v>TSP-2027-045</v>
      </c>
      <c r="C48" s="18">
        <f>'👥 MEMBRES'!B49</f>
        <v>0</v>
      </c>
      <c r="D48" s="18">
        <f>'👥 MEMBRES'!C49</f>
        <v>0</v>
      </c>
      <c r="E48" s="18">
        <f>'👥 MEMBRES'!D49</f>
        <v>0</v>
      </c>
      <c r="F48" s="18">
        <f>'👥 MEMBRES'!E49</f>
        <v>0</v>
      </c>
      <c r="G48" s="18">
        <f>'👥 MEMBRES'!F49</f>
        <v>0</v>
      </c>
      <c r="H48" s="18">
        <f>'👥 MEMBRES'!G49</f>
        <v>0</v>
      </c>
      <c r="I48" s="18">
        <f>'👥 MEMBRES'!H49</f>
        <v>0</v>
      </c>
      <c r="J48" s="18">
        <f>'👥 MEMBRES'!M49</f>
        <v>0</v>
      </c>
      <c r="K48" s="18">
        <f>'👥 MEMBRES'!L49</f>
        <v>0</v>
      </c>
      <c r="L48" s="18">
        <f>'👥 MEMBRES'!M49</f>
        <v>0</v>
      </c>
    </row>
    <row r="49" spans="1:12" ht="21.75" customHeight="1" x14ac:dyDescent="0.3">
      <c r="A49" s="43">
        <v>46</v>
      </c>
      <c r="B49" s="28" t="str">
        <f>'👥 MEMBRES'!A50</f>
        <v>TSP-2027-046</v>
      </c>
      <c r="C49" s="26">
        <f>'👥 MEMBRES'!B50</f>
        <v>0</v>
      </c>
      <c r="D49" s="26">
        <f>'👥 MEMBRES'!C50</f>
        <v>0</v>
      </c>
      <c r="E49" s="26">
        <f>'👥 MEMBRES'!D50</f>
        <v>0</v>
      </c>
      <c r="F49" s="26">
        <f>'👥 MEMBRES'!E50</f>
        <v>0</v>
      </c>
      <c r="G49" s="26">
        <f>'👥 MEMBRES'!F50</f>
        <v>0</v>
      </c>
      <c r="H49" s="26">
        <f>'👥 MEMBRES'!G50</f>
        <v>0</v>
      </c>
      <c r="I49" s="26">
        <f>'👥 MEMBRES'!H50</f>
        <v>0</v>
      </c>
      <c r="J49" s="26">
        <f>'👥 MEMBRES'!M50</f>
        <v>0</v>
      </c>
      <c r="K49" s="26">
        <f>'👥 MEMBRES'!L50</f>
        <v>0</v>
      </c>
      <c r="L49" s="26">
        <f>'👥 MEMBRES'!M50</f>
        <v>0</v>
      </c>
    </row>
    <row r="50" spans="1:12" ht="21.75" customHeight="1" x14ac:dyDescent="0.3">
      <c r="A50" s="42">
        <v>47</v>
      </c>
      <c r="B50" s="25" t="str">
        <f>'👥 MEMBRES'!A51</f>
        <v>TSP-2027-047</v>
      </c>
      <c r="C50" s="18">
        <f>'👥 MEMBRES'!B51</f>
        <v>0</v>
      </c>
      <c r="D50" s="18">
        <f>'👥 MEMBRES'!C51</f>
        <v>0</v>
      </c>
      <c r="E50" s="18">
        <f>'👥 MEMBRES'!D51</f>
        <v>0</v>
      </c>
      <c r="F50" s="18">
        <f>'👥 MEMBRES'!E51</f>
        <v>0</v>
      </c>
      <c r="G50" s="18">
        <f>'👥 MEMBRES'!F51</f>
        <v>0</v>
      </c>
      <c r="H50" s="18">
        <f>'👥 MEMBRES'!G51</f>
        <v>0</v>
      </c>
      <c r="I50" s="18">
        <f>'👥 MEMBRES'!H51</f>
        <v>0</v>
      </c>
      <c r="J50" s="18">
        <f>'👥 MEMBRES'!M51</f>
        <v>0</v>
      </c>
      <c r="K50" s="18">
        <f>'👥 MEMBRES'!L51</f>
        <v>0</v>
      </c>
      <c r="L50" s="18">
        <f>'👥 MEMBRES'!M51</f>
        <v>0</v>
      </c>
    </row>
    <row r="51" spans="1:12" ht="21.75" customHeight="1" x14ac:dyDescent="0.3">
      <c r="A51" s="43">
        <v>48</v>
      </c>
      <c r="B51" s="28" t="str">
        <f>'👥 MEMBRES'!A52</f>
        <v>TSP-2027-048</v>
      </c>
      <c r="C51" s="26">
        <f>'👥 MEMBRES'!B52</f>
        <v>0</v>
      </c>
      <c r="D51" s="26">
        <f>'👥 MEMBRES'!C52</f>
        <v>0</v>
      </c>
      <c r="E51" s="26">
        <f>'👥 MEMBRES'!D52</f>
        <v>0</v>
      </c>
      <c r="F51" s="26">
        <f>'👥 MEMBRES'!E52</f>
        <v>0</v>
      </c>
      <c r="G51" s="26">
        <f>'👥 MEMBRES'!F52</f>
        <v>0</v>
      </c>
      <c r="H51" s="26">
        <f>'👥 MEMBRES'!G52</f>
        <v>0</v>
      </c>
      <c r="I51" s="26">
        <f>'👥 MEMBRES'!H52</f>
        <v>0</v>
      </c>
      <c r="J51" s="26">
        <f>'👥 MEMBRES'!M52</f>
        <v>0</v>
      </c>
      <c r="K51" s="26">
        <f>'👥 MEMBRES'!L52</f>
        <v>0</v>
      </c>
      <c r="L51" s="26">
        <f>'👥 MEMBRES'!M52</f>
        <v>0</v>
      </c>
    </row>
    <row r="52" spans="1:12" ht="21.75" customHeight="1" x14ac:dyDescent="0.3">
      <c r="A52" s="42">
        <v>49</v>
      </c>
      <c r="B52" s="25" t="str">
        <f>'👥 MEMBRES'!A53</f>
        <v>TSP-2027-049</v>
      </c>
      <c r="C52" s="18">
        <f>'👥 MEMBRES'!B53</f>
        <v>0</v>
      </c>
      <c r="D52" s="18">
        <f>'👥 MEMBRES'!C53</f>
        <v>0</v>
      </c>
      <c r="E52" s="18">
        <f>'👥 MEMBRES'!D53</f>
        <v>0</v>
      </c>
      <c r="F52" s="18">
        <f>'👥 MEMBRES'!E53</f>
        <v>0</v>
      </c>
      <c r="G52" s="18">
        <f>'👥 MEMBRES'!F53</f>
        <v>0</v>
      </c>
      <c r="H52" s="18">
        <f>'👥 MEMBRES'!G53</f>
        <v>0</v>
      </c>
      <c r="I52" s="18">
        <f>'👥 MEMBRES'!H53</f>
        <v>0</v>
      </c>
      <c r="J52" s="18">
        <f>'👥 MEMBRES'!M53</f>
        <v>0</v>
      </c>
      <c r="K52" s="18">
        <f>'👥 MEMBRES'!L53</f>
        <v>0</v>
      </c>
      <c r="L52" s="18">
        <f>'👥 MEMBRES'!M53</f>
        <v>0</v>
      </c>
    </row>
    <row r="53" spans="1:12" ht="21.75" customHeight="1" x14ac:dyDescent="0.3">
      <c r="A53" s="43">
        <v>50</v>
      </c>
      <c r="B53" s="28" t="str">
        <f>'👥 MEMBRES'!A54</f>
        <v>TSP-2027-050</v>
      </c>
      <c r="C53" s="26">
        <f>'👥 MEMBRES'!B54</f>
        <v>0</v>
      </c>
      <c r="D53" s="26">
        <f>'👥 MEMBRES'!C54</f>
        <v>0</v>
      </c>
      <c r="E53" s="26">
        <f>'👥 MEMBRES'!D54</f>
        <v>0</v>
      </c>
      <c r="F53" s="26">
        <f>'👥 MEMBRES'!E54</f>
        <v>0</v>
      </c>
      <c r="G53" s="26">
        <f>'👥 MEMBRES'!F54</f>
        <v>0</v>
      </c>
      <c r="H53" s="26">
        <f>'👥 MEMBRES'!G54</f>
        <v>0</v>
      </c>
      <c r="I53" s="26">
        <f>'👥 MEMBRES'!H54</f>
        <v>0</v>
      </c>
      <c r="J53" s="26">
        <f>'👥 MEMBRES'!M54</f>
        <v>0</v>
      </c>
      <c r="K53" s="26">
        <f>'👥 MEMBRES'!L54</f>
        <v>0</v>
      </c>
      <c r="L53" s="26">
        <f>'👥 MEMBRES'!M54</f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🏠 ACCUEIL</vt:lpstr>
      <vt:lpstr>⚙️ PARAMÈTRES</vt:lpstr>
      <vt:lpstr>👥 MEMBRES</vt:lpstr>
      <vt:lpstr>💰 COTISATIONS</vt:lpstr>
      <vt:lpstr>🏦 PRÊTS</vt:lpstr>
      <vt:lpstr>🔄 REMBOURSEMENTS</vt:lpstr>
      <vt:lpstr>⚠️ PÉNALITÉS</vt:lpstr>
      <vt:lpstr>🏧 CAISSE</vt:lpstr>
      <vt:lpstr>📋 SOLDE MEMBRES</vt:lpstr>
      <vt:lpstr>📜 CONTRATS</vt:lpstr>
      <vt:lpstr>📊 TABLEAU DE BORD</vt:lpstr>
      <vt:lpstr>🪪 IDENTITÉ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Jaures Ayitondji</cp:lastModifiedBy>
  <cp:revision>0</cp:revision>
  <dcterms:created xsi:type="dcterms:W3CDTF">2026-05-13T10:59:48Z</dcterms:created>
  <dcterms:modified xsi:type="dcterms:W3CDTF">2026-06-07T22:25:53Z</dcterms:modified>
  <dc:language>en-US</dc:language>
</cp:coreProperties>
</file>