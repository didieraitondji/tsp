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se de tontine\"/>
    </mc:Choice>
  </mc:AlternateContent>
  <xr:revisionPtr revIDLastSave="0" documentId="13_ncr:1_{E8846747-606C-4570-B186-428C5D7B89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🏠 ACCUEIL" sheetId="1" r:id="rId1"/>
    <sheet name="⚙️ PARAMÈTRES" sheetId="2" r:id="rId2"/>
    <sheet name="👥 MEMBRES" sheetId="3" r:id="rId3"/>
    <sheet name="💰 COTISATIONS" sheetId="4" r:id="rId4"/>
    <sheet name="🏦 PRÊTS" sheetId="5" r:id="rId5"/>
    <sheet name="🔄 REMBOURSEMENTS" sheetId="6" r:id="rId6"/>
    <sheet name="⚠️ PÉNALITÉS" sheetId="7" r:id="rId7"/>
    <sheet name="🏧 CAISSE" sheetId="8" r:id="rId8"/>
    <sheet name="📋 SOLDE MEMBRES" sheetId="9" r:id="rId9"/>
    <sheet name="📊 TABLEAU DE BORD" sheetId="10" r:id="rId10"/>
    <sheet name="🪪 IDENTITÉ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5" l="1"/>
  <c r="BF13" i="4"/>
  <c r="J28" i="3"/>
  <c r="C35" i="10" l="1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D9" i="10"/>
  <c r="F35" i="10"/>
  <c r="E34" i="10"/>
  <c r="F33" i="10"/>
  <c r="E33" i="10"/>
  <c r="F32" i="10"/>
  <c r="F31" i="10"/>
  <c r="E31" i="10"/>
  <c r="F30" i="10"/>
  <c r="F29" i="10"/>
  <c r="F28" i="10"/>
  <c r="E28" i="10"/>
  <c r="F27" i="10"/>
  <c r="E27" i="10"/>
  <c r="F26" i="10"/>
  <c r="E26" i="10"/>
  <c r="F25" i="10"/>
  <c r="E25" i="10"/>
  <c r="F24" i="10"/>
  <c r="F23" i="10"/>
  <c r="E23" i="10"/>
  <c r="E21" i="10"/>
  <c r="F20" i="10"/>
  <c r="E20" i="10"/>
  <c r="F19" i="10"/>
  <c r="E19" i="10"/>
  <c r="E18" i="10"/>
  <c r="F16" i="10"/>
  <c r="F15" i="10"/>
  <c r="F14" i="10"/>
  <c r="E14" i="10"/>
  <c r="F13" i="10"/>
  <c r="E13" i="10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5" i="8"/>
  <c r="G6" i="8" s="1"/>
  <c r="G7" i="8" s="1"/>
  <c r="G8" i="8" s="1"/>
  <c r="G9" i="8" s="1"/>
  <c r="G10" i="8" s="1"/>
  <c r="G11" i="8" s="1"/>
  <c r="G12" i="8" s="1"/>
  <c r="A5" i="10" s="1"/>
  <c r="G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G35" i="5"/>
  <c r="F35" i="5"/>
  <c r="G5" i="10" s="1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J16" i="5"/>
  <c r="K15" i="5"/>
  <c r="J15" i="5"/>
  <c r="K14" i="5"/>
  <c r="J14" i="5"/>
  <c r="K13" i="5"/>
  <c r="J13" i="5"/>
  <c r="F22" i="10"/>
  <c r="F21" i="10"/>
  <c r="F17" i="10"/>
  <c r="G3" i="5"/>
  <c r="BD28" i="4"/>
  <c r="BC28" i="4"/>
  <c r="BB28" i="4"/>
  <c r="BA28" i="4"/>
  <c r="AZ28" i="4"/>
  <c r="AY28" i="4"/>
  <c r="AX28" i="4"/>
  <c r="AW28" i="4"/>
  <c r="AV28" i="4"/>
  <c r="AT28" i="4"/>
  <c r="AS28" i="4"/>
  <c r="AR28" i="4"/>
  <c r="AQ28" i="4"/>
  <c r="AP28" i="4"/>
  <c r="AO28" i="4"/>
  <c r="J40" i="10" s="1"/>
  <c r="AN28" i="4"/>
  <c r="AM28" i="4"/>
  <c r="AL28" i="4"/>
  <c r="AK28" i="4"/>
  <c r="AJ28" i="4"/>
  <c r="AI28" i="4"/>
  <c r="AH28" i="4"/>
  <c r="AG28" i="4"/>
  <c r="H40" i="10" s="1"/>
  <c r="AF28" i="4"/>
  <c r="AE28" i="4"/>
  <c r="AD28" i="4"/>
  <c r="AC28" i="4"/>
  <c r="G40" i="10" s="1"/>
  <c r="AB28" i="4"/>
  <c r="AA28" i="4"/>
  <c r="Z28" i="4"/>
  <c r="Y28" i="4"/>
  <c r="F40" i="10" s="1"/>
  <c r="X28" i="4"/>
  <c r="W28" i="4"/>
  <c r="V28" i="4"/>
  <c r="U28" i="4"/>
  <c r="E40" i="10" s="1"/>
  <c r="T28" i="4"/>
  <c r="S28" i="4"/>
  <c r="R28" i="4"/>
  <c r="Q28" i="4"/>
  <c r="P28" i="4"/>
  <c r="O28" i="4"/>
  <c r="N28" i="4"/>
  <c r="C40" i="10" s="1"/>
  <c r="M28" i="4"/>
  <c r="L28" i="4"/>
  <c r="K28" i="4"/>
  <c r="J28" i="4"/>
  <c r="I28" i="4"/>
  <c r="G28" i="4"/>
  <c r="F28" i="4"/>
  <c r="E28" i="4"/>
  <c r="BF27" i="4"/>
  <c r="BE27" i="4"/>
  <c r="BF26" i="4"/>
  <c r="BE26" i="4"/>
  <c r="BF25" i="4"/>
  <c r="BE25" i="4"/>
  <c r="BG25" i="4" s="1"/>
  <c r="BF24" i="4"/>
  <c r="BE24" i="4"/>
  <c r="BF23" i="4"/>
  <c r="BE23" i="4"/>
  <c r="BF22" i="4"/>
  <c r="BE22" i="4"/>
  <c r="BF21" i="4"/>
  <c r="BE21" i="4"/>
  <c r="BF20" i="4"/>
  <c r="BE20" i="4"/>
  <c r="BF19" i="4"/>
  <c r="BE19" i="4"/>
  <c r="BF18" i="4"/>
  <c r="BE18" i="4"/>
  <c r="BF17" i="4"/>
  <c r="BE17" i="4"/>
  <c r="BG17" i="4" s="1"/>
  <c r="BF16" i="4"/>
  <c r="BE16" i="4"/>
  <c r="BF15" i="4"/>
  <c r="BE15" i="4"/>
  <c r="BG15" i="4" s="1"/>
  <c r="BF14" i="4"/>
  <c r="BE14" i="4"/>
  <c r="BE13" i="4"/>
  <c r="BG13" i="4" s="1"/>
  <c r="BF12" i="4"/>
  <c r="BE12" i="4"/>
  <c r="BF11" i="4"/>
  <c r="BE11" i="4"/>
  <c r="BF10" i="4"/>
  <c r="BE10" i="4"/>
  <c r="BF9" i="4"/>
  <c r="BE9" i="4"/>
  <c r="BF8" i="4"/>
  <c r="BE8" i="4"/>
  <c r="BF7" i="4"/>
  <c r="BE7" i="4"/>
  <c r="BG7" i="4" s="1"/>
  <c r="BF6" i="4"/>
  <c r="BE6" i="4"/>
  <c r="BF5" i="4"/>
  <c r="BE5" i="4"/>
  <c r="A9" i="10"/>
  <c r="K40" i="10" l="1"/>
  <c r="L40" i="10"/>
  <c r="B40" i="10"/>
  <c r="I40" i="10"/>
  <c r="D40" i="10"/>
  <c r="BG26" i="4"/>
  <c r="BG24" i="4"/>
  <c r="BG22" i="4"/>
  <c r="BG20" i="4"/>
  <c r="BG18" i="4"/>
  <c r="BG16" i="4"/>
  <c r="BG14" i="4"/>
  <c r="BG12" i="4"/>
  <c r="BG10" i="4"/>
  <c r="BG8" i="4"/>
  <c r="BG6" i="4"/>
  <c r="I60" i="7"/>
  <c r="G9" i="10" s="1"/>
  <c r="F34" i="10"/>
  <c r="I18" i="9"/>
  <c r="H27" i="10" s="1"/>
  <c r="I23" i="9"/>
  <c r="H32" i="10" s="1"/>
  <c r="I11" i="9"/>
  <c r="H20" i="10" s="1"/>
  <c r="I16" i="9"/>
  <c r="H25" i="10" s="1"/>
  <c r="I19" i="9"/>
  <c r="H28" i="10" s="1"/>
  <c r="I7" i="9"/>
  <c r="H16" i="10" s="1"/>
  <c r="I15" i="9"/>
  <c r="H24" i="10" s="1"/>
  <c r="I10" i="9"/>
  <c r="H19" i="10" s="1"/>
  <c r="I24" i="9"/>
  <c r="H33" i="10" s="1"/>
  <c r="I26" i="9"/>
  <c r="H35" i="10" s="1"/>
  <c r="A40" i="10"/>
  <c r="BE28" i="4"/>
  <c r="D5" i="10" s="1"/>
  <c r="E22" i="10"/>
  <c r="I13" i="9"/>
  <c r="H22" i="10" s="1"/>
  <c r="D31" i="10"/>
  <c r="G31" i="10"/>
  <c r="D13" i="10"/>
  <c r="G29" i="10"/>
  <c r="D29" i="10"/>
  <c r="E15" i="10"/>
  <c r="I6" i="9"/>
  <c r="H15" i="10" s="1"/>
  <c r="D26" i="10"/>
  <c r="G26" i="10"/>
  <c r="F18" i="10"/>
  <c r="K35" i="5"/>
  <c r="J9" i="10" s="1"/>
  <c r="E30" i="10"/>
  <c r="I21" i="9"/>
  <c r="H30" i="10" s="1"/>
  <c r="D20" i="10"/>
  <c r="G20" i="10"/>
  <c r="D18" i="10"/>
  <c r="D27" i="10"/>
  <c r="G27" i="10"/>
  <c r="D34" i="10"/>
  <c r="G34" i="10"/>
  <c r="D19" i="10"/>
  <c r="G19" i="10"/>
  <c r="D24" i="10"/>
  <c r="G24" i="10"/>
  <c r="D16" i="10"/>
  <c r="G16" i="10"/>
  <c r="D32" i="10"/>
  <c r="G32" i="10"/>
  <c r="E29" i="10"/>
  <c r="I20" i="9"/>
  <c r="H29" i="10" s="1"/>
  <c r="D22" i="10"/>
  <c r="G22" i="10"/>
  <c r="D14" i="10"/>
  <c r="G14" i="10"/>
  <c r="D30" i="10"/>
  <c r="G30" i="10"/>
  <c r="D35" i="10"/>
  <c r="G35" i="10"/>
  <c r="D17" i="10"/>
  <c r="G21" i="10"/>
  <c r="D21" i="10"/>
  <c r="D28" i="10"/>
  <c r="G28" i="10"/>
  <c r="J35" i="5"/>
  <c r="J5" i="10" s="1"/>
  <c r="BG9" i="4"/>
  <c r="BG19" i="4"/>
  <c r="BG23" i="4"/>
  <c r="BG27" i="4"/>
  <c r="E27" i="9"/>
  <c r="I4" i="9"/>
  <c r="H13" i="10" s="1"/>
  <c r="I12" i="9"/>
  <c r="H21" i="10" s="1"/>
  <c r="E35" i="10"/>
  <c r="BG5" i="4"/>
  <c r="BG11" i="4"/>
  <c r="BG21" i="4"/>
  <c r="G17" i="10"/>
  <c r="I17" i="9"/>
  <c r="H26" i="10" s="1"/>
  <c r="I25" i="9"/>
  <c r="H34" i="10" s="1"/>
  <c r="I14" i="9"/>
  <c r="H23" i="10" s="1"/>
  <c r="I22" i="9"/>
  <c r="H31" i="10" s="1"/>
  <c r="E16" i="10"/>
  <c r="E24" i="10"/>
  <c r="E32" i="10"/>
  <c r="I5" i="9"/>
  <c r="H14" i="10" s="1"/>
  <c r="G27" i="9" l="1"/>
  <c r="G13" i="10"/>
  <c r="G33" i="10"/>
  <c r="D33" i="10"/>
  <c r="G18" i="10"/>
  <c r="F27" i="9"/>
  <c r="I9" i="9"/>
  <c r="H18" i="10" s="1"/>
  <c r="G25" i="10"/>
  <c r="D25" i="10"/>
  <c r="D15" i="10"/>
  <c r="G15" i="10"/>
  <c r="I8" i="9"/>
  <c r="H17" i="10" s="1"/>
  <c r="E17" i="10"/>
  <c r="D23" i="10"/>
  <c r="G23" i="10"/>
  <c r="H27" i="9" l="1"/>
</calcChain>
</file>

<file path=xl/sharedStrings.xml><?xml version="1.0" encoding="utf-8"?>
<sst xmlns="http://schemas.openxmlformats.org/spreadsheetml/2006/main" count="264" uniqueCount="169">
  <si>
    <t>Système de Gestion Financière Professionnelle</t>
  </si>
  <si>
    <t>Bienvenue dans votre espace de gestion de tontine.
Naviguez via les onglets ci-dessous.</t>
  </si>
  <si>
    <t>👥 MEMBRES</t>
  </si>
  <si>
    <t>💰 COTISATIONS</t>
  </si>
  <si>
    <t>🏦 PRÊTS</t>
  </si>
  <si>
    <t>⚠️ PÉNALITÉS</t>
  </si>
  <si>
    <t>📊 TABLEAU DE BORD</t>
  </si>
  <si>
    <t>📋 MODULES DISPONIBLES
• Gestion des membres &amp; identités
• Suivi hebdomadaire des cotisations
• Gestion des prêts &amp; remboursements
• Calcul automatique des pénalités
• Tableau de bord dynamique</t>
  </si>
  <si>
    <t>💡 MODE D'EMPLOI : Toutes les feuilles sont interconnectées par ID_MEMBRE. Ne jamais modifier les IDs. Les formules se recalculent automatiquement.</t>
  </si>
  <si>
    <t>Fichier généré le 13/03/2026 | Version 2.0 Professionnelle</t>
  </si>
  <si>
    <t>Modifiez UNIQUEMENT les cellules en bleu (colonne VALEUR). Toutes les formules se mettront à jour automatiquement.</t>
  </si>
  <si>
    <t>PARAMÈTRE</t>
  </si>
  <si>
    <t>VALEUR</t>
  </si>
  <si>
    <t>UNITÉ</t>
  </si>
  <si>
    <t>DESCRIPTION</t>
  </si>
  <si>
    <t>MODIFIÉ PAR</t>
  </si>
  <si>
    <t>%</t>
  </si>
  <si>
    <t>Taux appliqué à TOUS les prêts</t>
  </si>
  <si>
    <t>Trésorier</t>
  </si>
  <si>
    <t>Cotisation Hebdo Standard</t>
  </si>
  <si>
    <t>FCFA</t>
  </si>
  <si>
    <t>Montant standard de cotisation/semaine</t>
  </si>
  <si>
    <t>Bureau</t>
  </si>
  <si>
    <t>Pénalité Retard Cotisation</t>
  </si>
  <si>
    <t>Pénalité par semaine de retard</t>
  </si>
  <si>
    <t>Pénalité Absence Réunion</t>
  </si>
  <si>
    <t>Pénalité par absence réunion mensuelle</t>
  </si>
  <si>
    <t>Frais de Retrait Prêt</t>
  </si>
  <si>
    <t>Frais appliqués au montant du prêt</t>
  </si>
  <si>
    <t>Durée Max Prêt (semaines)</t>
  </si>
  <si>
    <t>semaines</t>
  </si>
  <si>
    <t>Durée maximale autorisée pour un prêt</t>
  </si>
  <si>
    <t>Nombre de Membres</t>
  </si>
  <si>
    <t>membres</t>
  </si>
  <si>
    <t>Mis à jour automatiquement</t>
  </si>
  <si>
    <t>Automatique</t>
  </si>
  <si>
    <t>Année en cours</t>
  </si>
  <si>
    <t>année</t>
  </si>
  <si>
    <t>Exercice financier</t>
  </si>
  <si>
    <t>📌 RÉFÉRENCES : Taux intérêt = cellule B4 | Cotisation standard = B5 | Pénalité retard = B6 | Pénalité absence = B7 | Frais retrait = B8</t>
  </si>
  <si>
    <t>Total membres : 23 | Mis à jour le 13/03/2026</t>
  </si>
  <si>
    <t>ID</t>
  </si>
  <si>
    <t>NOM</t>
  </si>
  <si>
    <t>PRÉNOMS</t>
  </si>
  <si>
    <t>TÉLÉPHONE</t>
  </si>
  <si>
    <t>EMAIL</t>
  </si>
  <si>
    <t>SEXE</t>
  </si>
  <si>
    <t>N° CIP</t>
  </si>
  <si>
    <t>DATE NAISSANCE</t>
  </si>
  <si>
    <t>DATE ADHÉSION</t>
  </si>
  <si>
    <t>STATUT</t>
  </si>
  <si>
    <t>04/01/2026</t>
  </si>
  <si>
    <t>Actif</t>
  </si>
  <si>
    <t>TOTAL MEMBRES ACTIFS</t>
  </si>
  <si>
    <t>💰  REGISTRE DES COTISATIONS HEBDOMADAIRES – TONTINE SOLIDARITÉ PLUS 2026</t>
  </si>
  <si>
    <t>Saisir les montants en FCFA | Cellules vides = absence | TOTAL calculé automatiquement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</si>
  <si>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</si>
  <si>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</si>
  <si>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</si>
  <si>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</si>
  <si>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</si>
  <si>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</si>
  <si>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</si>
  <si>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</si>
  <si>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</si>
  <si>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</si>
  <si>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</si>
  <si>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</si>
  <si>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CIBLE
/SEM.</t>
  </si>
  <si>
    <t>TOTAL COTISÉ
(FCFA)</t>
  </si>
  <si>
    <t>SEMAINES
PAYÉES</t>
  </si>
  <si>
    <t>🏦  TOTAL GÉNÉRAL</t>
  </si>
  <si>
    <t>Taux d'intérêt lié à l'onglet PARAMÈTRES (cellule B4) – Mise à jour automatique</t>
  </si>
  <si>
    <t xml:space="preserve">⚙️  TAUX D'INTÉRÊT ACTUEL : </t>
  </si>
  <si>
    <t>ID_MEMBRE</t>
  </si>
  <si>
    <t>DATE DU PRÊT</t>
  </si>
  <si>
    <t>MONTANT (FCFA)</t>
  </si>
  <si>
    <t>FRAIS RETRAIT</t>
  </si>
  <si>
    <t>GARANTIE</t>
  </si>
  <si>
    <t>DATE ÉCHÉANCE</t>
  </si>
  <si>
    <t>INTÉRÊTS (FCFA)</t>
  </si>
  <si>
    <t>MONTANT DÛ TOTAL</t>
  </si>
  <si>
    <t>En cours</t>
  </si>
  <si>
    <t>🏦  TOTAUX</t>
  </si>
  <si>
    <t>Chaque remboursement est lié au prêt via ID_PRÊT | Solde recalculé automatiquement</t>
  </si>
  <si>
    <t>ID_REM</t>
  </si>
  <si>
    <t>ID_PRÊT</t>
  </si>
  <si>
    <t>DATE REMB.</t>
  </si>
  <si>
    <t>CAPITAL</t>
  </si>
  <si>
    <t>INTÉRÊTS</t>
  </si>
  <si>
    <t>SOLDE RESTANT</t>
  </si>
  <si>
    <t>ID_PEN</t>
  </si>
  <si>
    <t>ID_MEM</t>
  </si>
  <si>
    <t>DATE</t>
  </si>
  <si>
    <t>MOTIF</t>
  </si>
  <si>
    <t>PAYÉ ?</t>
  </si>
  <si>
    <t>SOLDE PEN.</t>
  </si>
  <si>
    <t>TOTAL PÉNALITÉS NON RECOUVRÉES</t>
  </si>
  <si>
    <t>Toutes les entrées et sorties | Solde calculé automatiquement après chaque opération</t>
  </si>
  <si>
    <t>📅 SOLDE INITIAL (FCFA)</t>
  </si>
  <si>
    <t>← Saisir le solde d'ouverture</t>
  </si>
  <si>
    <t>ID_TXN</t>
  </si>
  <si>
    <t>TYPE</t>
  </si>
  <si>
    <t>ENTRÉE (FCFA)</t>
  </si>
  <si>
    <t>SORTIE (FCFA)</t>
  </si>
  <si>
    <t>SOLDE (FCFA)</t>
  </si>
  <si>
    <t>RÉFÉRENCE</t>
  </si>
  <si>
    <t>ORIGINE</t>
  </si>
  <si>
    <t>SAISI PAR</t>
  </si>
  <si>
    <t>Entrée</t>
  </si>
  <si>
    <t>Cotisations semaine 1</t>
  </si>
  <si>
    <t>Cotisation</t>
  </si>
  <si>
    <t>11/01/2026</t>
  </si>
  <si>
    <t>Cotisations semaine 2</t>
  </si>
  <si>
    <t>18/01/2026</t>
  </si>
  <si>
    <t>Cotisations semaine 3</t>
  </si>
  <si>
    <t>25/01/2026</t>
  </si>
  <si>
    <t>Cotisations semaine 4</t>
  </si>
  <si>
    <t>Sortie</t>
  </si>
  <si>
    <t>Prêt AGBLE Vidéhou - ID#1</t>
  </si>
  <si>
    <t>Prêt octroyé</t>
  </si>
  <si>
    <t>Prêt AGBLE Josias - ID#2</t>
  </si>
  <si>
    <t>Prêt AHOUANDJINOU P. - ID#3</t>
  </si>
  <si>
    <t>01/02/2026</t>
  </si>
  <si>
    <t>Prêt OKPE Mathilde - ID#4</t>
  </si>
  <si>
    <t>Données liées automatiquement aux onglets COTISATIONS, PRÊTS et PÉNALITÉS</t>
  </si>
  <si>
    <t>#</t>
  </si>
  <si>
    <t>PÉNALITÉS
DUES (FCFA)</t>
  </si>
  <si>
    <t>PRÊTS EN
COURS (FCFA)</t>
  </si>
  <si>
    <t>SOLDE NET
(FCFA)</t>
  </si>
  <si>
    <t>TOTAUX</t>
  </si>
  <si>
    <t>Mise à jour automatique en temps réel | Données liées à tous les onglets</t>
  </si>
  <si>
    <t>💰 TOTAL EN CAISSE</t>
  </si>
  <si>
    <t>📤 COTISATIONS TOTALES</t>
  </si>
  <si>
    <t>🏦 PRÊTS OCTROYÉS</t>
  </si>
  <si>
    <t>📈 INTÉRÊTS GÉNÉRÉS</t>
  </si>
  <si>
    <t>👥 MEMBRES ACTIFS</t>
  </si>
  <si>
    <t>⚙️ TAUX D'INTÉRÊT</t>
  </si>
  <si>
    <t>⚠️ PÉNALITÉS NON RECOUVRÉES</t>
  </si>
  <si>
    <t>📊 MONTANT DÛ TOTAL (PRÊTS)</t>
  </si>
  <si>
    <t>🏆  CLASSEMENT DES MEMBRES PAR COTISATION</t>
  </si>
  <si>
    <t>RANG</t>
  </si>
  <si>
    <t>TOTAL COTISÉ</t>
  </si>
  <si>
    <t>PÉNALITÉS DUES</t>
  </si>
  <si>
    <t>PRÊTS EN COURS</t>
  </si>
  <si>
    <t>SOLDE NET</t>
  </si>
  <si>
    <t>📅  RÉSUMÉ DES COTISATIONS PAR MOIS</t>
  </si>
  <si>
    <t>JANV.</t>
  </si>
  <si>
    <t>FÉVR.</t>
  </si>
  <si>
    <t>JUIL.</t>
  </si>
  <si>
    <t>SEPT.</t>
  </si>
  <si>
    <t>OCT.</t>
  </si>
  <si>
    <t>NOV.</t>
  </si>
  <si>
    <t>DÉC.</t>
  </si>
  <si>
    <t>N° CARTE CIP</t>
  </si>
  <si>
    <t>PROVENANCE</t>
  </si>
  <si>
    <t xml:space="preserve">Taux d'Intérêt </t>
  </si>
  <si>
    <t>🪪  IDENTITÉ DES MEMBRES – TONTINE SOLIDARITÉ PLUS 2027</t>
  </si>
  <si>
    <t>📊  TABLEAU DE BORD – TONTINE SOLIDARITÉ PLUS 2027</t>
  </si>
  <si>
    <t>📋  SOLDE GLOBAL PAR MEMBRE – TONTINE SOLIDARITÉ PLUS 2027</t>
  </si>
  <si>
    <t>🏧  JOURNAL DE CAISSE – TONTINE SOLIDARITÉ PLUS 2027</t>
  </si>
  <si>
    <t>⚠️  REGISTRE DES PÉNALITÉS – TONTINE SOLIDARITÉ PLUS 2027</t>
  </si>
  <si>
    <t>🔄  SUIVI DES REMBOURSEMENTS – TONTINE SOLIDARITÉ PLUS 2027</t>
  </si>
  <si>
    <t>🏦  REGISTRE DES PRÊTS – TONTINE SOLIDARITÉ PLUS 2027</t>
  </si>
  <si>
    <t>👥  REGISTRE DES MEMBRES – TONTINE SOLIDARITÉ PLUS 2027</t>
  </si>
  <si>
    <t>⚙️  PARAMÈTRES SYSTÈME – TONTINE SOLIDARITÉ PLUS 2027</t>
  </si>
  <si>
    <t>⚙️ PARAMÈTRES CLÉS
• Taux d'intérêt : 12% (modifiable)
• Cotisation standard : 2 500 FCFA/semaine
• Pénalité retard : 100: FCFA
• Pénalité absence : 500 FCFA
• 23 membres actifs</t>
  </si>
  <si>
    <t>Pénalité retard : 100 FCFA/sem | Absence réunion : 1 000 FCFA — liées aux PARAMÈTRES</t>
  </si>
  <si>
    <t>🏦  TONTINE SOLIDARITÉ PLUS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</si>
</sst>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F\C\F\A"/>
  </numFmts>
  <fonts count="49" x14ac:knownFonts="1">
    <font>
      <sz val="11"/>
      <color theme="1"/>
      <name val="Calibri"/>
      <family val="2"/>
      <scheme val="minor"/>
    </font>
    <font>
      <b/>
      <sz val="22"/>
      <color rgb="FFC9A84C"/>
      <name val="Arial"/>
    </font>
    <font>
      <i/>
      <sz val="13"/>
      <color rgb="FFFFFFFF"/>
      <name val="Arial"/>
    </font>
    <font>
      <sz val="11"/>
      <color rgb="FFFFFFFF"/>
      <name val="Arial"/>
    </font>
    <font>
      <b/>
      <sz val="11"/>
      <color rgb="FFFFFFFF"/>
      <name val="Arial"/>
    </font>
    <font>
      <sz val="10"/>
      <color rgb="FF1B3A6B"/>
      <name val="Arial"/>
    </font>
    <font>
      <sz val="10"/>
      <color rgb="FFE36C09"/>
      <name val="Arial"/>
    </font>
    <font>
      <i/>
      <sz val="9"/>
      <color rgb="FF808080"/>
      <name val="Arial"/>
    </font>
    <font>
      <b/>
      <sz val="16"/>
      <color rgb="FFFFFFFF"/>
      <name val="Arial"/>
    </font>
    <font>
      <i/>
      <sz val="9"/>
      <color rgb="FFE36C09"/>
      <name val="Arial"/>
    </font>
    <font>
      <sz val="11"/>
      <color rgb="FF1B3A6B"/>
      <name val="Arial"/>
    </font>
    <font>
      <b/>
      <sz val="11"/>
      <color rgb="FF0000FF"/>
      <name val="Arial"/>
    </font>
    <font>
      <sz val="9"/>
      <color rgb="FF1B3A6B"/>
      <name val="Arial"/>
    </font>
    <font>
      <b/>
      <sz val="15"/>
      <color rgb="FFFFFFFF"/>
      <name val="Arial"/>
    </font>
    <font>
      <i/>
      <sz val="9"/>
      <color rgb="FFC9A84C"/>
      <name val="Arial"/>
    </font>
    <font>
      <b/>
      <sz val="10"/>
      <color rgb="FFFFFFFF"/>
      <name val="Arial"/>
    </font>
    <font>
      <b/>
      <sz val="10"/>
      <color rgb="FF1B3A6B"/>
      <name val="Arial"/>
    </font>
    <font>
      <sz val="10"/>
      <color rgb="FF333333"/>
      <name val="Arial"/>
    </font>
    <font>
      <b/>
      <sz val="10"/>
      <color rgb="FF217346"/>
      <name val="Arial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10"/>
      <color rgb="FF0000FF"/>
      <name val="Arial"/>
    </font>
    <font>
      <sz val="9"/>
      <color rgb="FF000000"/>
      <name val="Arial"/>
    </font>
    <font>
      <sz val="9"/>
      <color rgb="FFCCCCCC"/>
      <name val="Arial"/>
    </font>
    <font>
      <sz val="10"/>
      <color rgb="FF5B2D91"/>
      <name val="Arial"/>
    </font>
    <font>
      <b/>
      <sz val="12"/>
      <color rgb="FF5B2D91"/>
      <name val="Arial"/>
    </font>
    <font>
      <sz val="10"/>
      <color rgb="FF000000"/>
      <name val="Arial"/>
    </font>
    <font>
      <b/>
      <sz val="10"/>
      <color rgb="FF5B2D91"/>
      <name val="Arial"/>
    </font>
    <font>
      <sz val="9"/>
      <color rgb="FFFFFFFF"/>
      <name val="Arial"/>
    </font>
    <font>
      <sz val="10"/>
      <name val="Arial"/>
    </font>
    <font>
      <b/>
      <sz val="10"/>
      <color rgb="FFC00000"/>
      <name val="Arial"/>
    </font>
    <font>
      <sz val="10"/>
      <color rgb="FFC00000"/>
      <name val="Arial"/>
    </font>
    <font>
      <b/>
      <sz val="14"/>
      <color rgb="FF1B3A6B"/>
      <name val="Arial"/>
    </font>
    <font>
      <sz val="10"/>
      <color rgb="FF217346"/>
      <name val="Arial"/>
    </font>
    <font>
      <b/>
      <sz val="10"/>
      <name val="Arial"/>
    </font>
    <font>
      <b/>
      <sz val="11"/>
      <color rgb="FF1B3A6B"/>
      <name val="Arial"/>
    </font>
    <font>
      <b/>
      <sz val="9"/>
      <name val="Arial"/>
    </font>
    <font>
      <b/>
      <sz val="20"/>
      <color rgb="FFC9A84C"/>
      <name val="Arial"/>
    </font>
    <font>
      <i/>
      <sz val="10"/>
      <color rgb="FFFFFFFF"/>
      <name val="Arial"/>
    </font>
    <font>
      <b/>
      <sz val="18"/>
      <color rgb="FF1B3A6B"/>
      <name val="Arial"/>
    </font>
    <font>
      <b/>
      <sz val="18"/>
      <color rgb="FF217346"/>
      <name val="Arial"/>
    </font>
    <font>
      <b/>
      <sz val="18"/>
      <color rgb="FF5B2D91"/>
      <name val="Arial"/>
    </font>
    <font>
      <b/>
      <sz val="18"/>
      <color rgb="FFE36C09"/>
      <name val="Arial"/>
    </font>
    <font>
      <b/>
      <sz val="18"/>
      <color rgb="FFC00000"/>
      <name val="Arial"/>
    </font>
    <font>
      <b/>
      <sz val="12"/>
      <color rgb="FFFFFFFF"/>
      <name val="Arial"/>
    </font>
    <font>
      <b/>
      <sz val="12"/>
      <color rgb="FF217346"/>
      <name val="Arial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17346"/>
      </patternFill>
    </fill>
    <fill>
      <patternFill patternType="solid">
        <fgColor rgb="FF5B2D91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D6E4F7"/>
      </patternFill>
    </fill>
    <fill>
      <patternFill patternType="solid">
        <fgColor rgb="FFFEF9EC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8F8"/>
      </patternFill>
    </fill>
    <fill>
      <patternFill patternType="solid">
        <fgColor rgb="FFEDE7F6"/>
      </patternFill>
    </fill>
    <fill>
      <patternFill patternType="solid">
        <fgColor rgb="FFFDECEA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8" fillId="0" borderId="0" applyNumberFormat="0" applyFill="0" applyBorder="0" applyAlignment="0" applyProtection="0"/>
  </cellStyleXfs>
  <cellXfs count="15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10" fontId="11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3" fontId="11" fillId="10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3" fontId="11" fillId="7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left" vertical="center"/>
    </xf>
    <xf numFmtId="0" fontId="17" fillId="7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/>
    </xf>
    <xf numFmtId="3" fontId="23" fillId="11" borderId="2" xfId="0" applyNumberFormat="1" applyFont="1" applyFill="1" applyBorder="1" applyAlignment="1">
      <alignment horizontal="center" vertical="center"/>
    </xf>
    <xf numFmtId="3" fontId="24" fillId="11" borderId="2" xfId="0" applyNumberFormat="1" applyFont="1" applyFill="1" applyBorder="1" applyAlignment="1">
      <alignment horizontal="center" vertical="center"/>
    </xf>
    <xf numFmtId="3" fontId="25" fillId="12" borderId="2" xfId="0" applyNumberFormat="1" applyFont="1" applyFill="1" applyBorder="1" applyAlignment="1">
      <alignment horizontal="center" vertical="center"/>
    </xf>
    <xf numFmtId="3" fontId="18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3" fontId="23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0" fillId="2" borderId="2" xfId="0" applyFill="1" applyBorder="1"/>
    <xf numFmtId="3" fontId="22" fillId="2" borderId="2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 wrapText="1"/>
    </xf>
    <xf numFmtId="3" fontId="5" fillId="10" borderId="2" xfId="0" applyNumberFormat="1" applyFont="1" applyFill="1" applyBorder="1" applyAlignment="1">
      <alignment horizontal="center" vertical="center"/>
    </xf>
    <xf numFmtId="3" fontId="28" fillId="10" borderId="2" xfId="0" applyNumberFormat="1" applyFont="1" applyFill="1" applyBorder="1" applyAlignment="1">
      <alignment horizontal="center" vertical="center"/>
    </xf>
    <xf numFmtId="3" fontId="29" fillId="10" borderId="2" xfId="0" applyNumberFormat="1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/>
    </xf>
    <xf numFmtId="3" fontId="5" fillId="13" borderId="2" xfId="0" applyNumberFormat="1" applyFont="1" applyFill="1" applyBorder="1" applyAlignment="1">
      <alignment horizontal="center" vertical="center"/>
    </xf>
    <xf numFmtId="3" fontId="28" fillId="13" borderId="2" xfId="0" applyNumberFormat="1" applyFont="1" applyFill="1" applyBorder="1" applyAlignment="1">
      <alignment horizontal="center" vertical="center"/>
    </xf>
    <xf numFmtId="3" fontId="29" fillId="13" borderId="2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13" borderId="2" xfId="0" applyFill="1" applyBorder="1"/>
    <xf numFmtId="3" fontId="31" fillId="13" borderId="2" xfId="0" applyNumberFormat="1" applyFont="1" applyFill="1" applyBorder="1"/>
    <xf numFmtId="3" fontId="29" fillId="13" borderId="2" xfId="0" applyNumberFormat="1" applyFont="1" applyFill="1" applyBorder="1"/>
    <xf numFmtId="0" fontId="0" fillId="10" borderId="2" xfId="0" applyFill="1" applyBorder="1"/>
    <xf numFmtId="3" fontId="31" fillId="10" borderId="2" xfId="0" applyNumberFormat="1" applyFont="1" applyFill="1" applyBorder="1"/>
    <xf numFmtId="3" fontId="29" fillId="10" borderId="2" xfId="0" applyNumberFormat="1" applyFont="1" applyFill="1" applyBorder="1"/>
    <xf numFmtId="3" fontId="4" fillId="4" borderId="2" xfId="0" applyNumberFormat="1" applyFont="1" applyFill="1" applyBorder="1" applyAlignment="1">
      <alignment horizontal="center" vertical="center"/>
    </xf>
    <xf numFmtId="0" fontId="31" fillId="8" borderId="2" xfId="0" applyFont="1" applyFill="1" applyBorder="1" applyAlignment="1">
      <alignment horizontal="center" vertical="center"/>
    </xf>
    <xf numFmtId="0" fontId="31" fillId="10" borderId="2" xfId="0" applyFont="1" applyFill="1" applyBorder="1" applyAlignment="1">
      <alignment horizontal="center" vertical="center"/>
    </xf>
    <xf numFmtId="3" fontId="18" fillId="10" borderId="2" xfId="0" applyNumberFormat="1" applyFont="1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3" fontId="32" fillId="10" borderId="2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center" vertical="center"/>
    </xf>
    <xf numFmtId="3" fontId="5" fillId="14" borderId="2" xfId="0" applyNumberFormat="1" applyFont="1" applyFill="1" applyBorder="1" applyAlignment="1">
      <alignment horizontal="center" vertical="center"/>
    </xf>
    <xf numFmtId="3" fontId="32" fillId="14" borderId="2" xfId="0" applyNumberFormat="1" applyFont="1" applyFill="1" applyBorder="1" applyAlignment="1">
      <alignment horizontal="center" vertical="center"/>
    </xf>
    <xf numFmtId="0" fontId="31" fillId="14" borderId="2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5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vertical="center"/>
    </xf>
    <xf numFmtId="3" fontId="35" fillId="15" borderId="2" xfId="0" applyNumberFormat="1" applyFont="1" applyFill="1" applyBorder="1" applyAlignment="1">
      <alignment horizontal="center" vertical="center"/>
    </xf>
    <xf numFmtId="3" fontId="33" fillId="15" borderId="2" xfId="0" applyNumberFormat="1" applyFont="1" applyFill="1" applyBorder="1" applyAlignment="1">
      <alignment horizontal="center" vertical="center"/>
    </xf>
    <xf numFmtId="3" fontId="18" fillId="15" borderId="2" xfId="0" applyNumberFormat="1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left" vertical="center"/>
    </xf>
    <xf numFmtId="3" fontId="35" fillId="16" borderId="2" xfId="0" applyNumberFormat="1" applyFont="1" applyFill="1" applyBorder="1" applyAlignment="1">
      <alignment horizontal="center" vertical="center"/>
    </xf>
    <xf numFmtId="3" fontId="33" fillId="16" borderId="2" xfId="0" applyNumberFormat="1" applyFont="1" applyFill="1" applyBorder="1" applyAlignment="1">
      <alignment horizontal="center" vertical="center"/>
    </xf>
    <xf numFmtId="3" fontId="32" fillId="16" borderId="2" xfId="0" applyNumberFormat="1" applyFont="1" applyFill="1" applyBorder="1" applyAlignment="1">
      <alignment horizontal="center" vertical="center"/>
    </xf>
    <xf numFmtId="3" fontId="36" fillId="10" borderId="2" xfId="0" applyNumberFormat="1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3" fontId="36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3" fontId="18" fillId="7" borderId="2" xfId="0" applyNumberFormat="1" applyFont="1" applyFill="1" applyBorder="1" applyAlignment="1">
      <alignment horizontal="center" vertical="center"/>
    </xf>
    <xf numFmtId="3" fontId="33" fillId="7" borderId="2" xfId="0" applyNumberFormat="1" applyFont="1" applyFill="1" applyBorder="1" applyAlignment="1">
      <alignment horizontal="center" vertical="center"/>
    </xf>
    <xf numFmtId="3" fontId="26" fillId="7" borderId="2" xfId="0" applyNumberFormat="1" applyFont="1" applyFill="1" applyBorder="1" applyAlignment="1">
      <alignment horizontal="center" vertical="center"/>
    </xf>
    <xf numFmtId="3" fontId="37" fillId="7" borderId="2" xfId="0" applyNumberFormat="1" applyFont="1" applyFill="1" applyBorder="1" applyAlignment="1">
      <alignment horizontal="center" vertical="center"/>
    </xf>
    <xf numFmtId="0" fontId="38" fillId="7" borderId="2" xfId="0" applyFont="1" applyFill="1" applyBorder="1" applyAlignment="1">
      <alignment horizontal="center" vertical="center"/>
    </xf>
    <xf numFmtId="3" fontId="33" fillId="10" borderId="2" xfId="0" applyNumberFormat="1" applyFont="1" applyFill="1" applyBorder="1" applyAlignment="1">
      <alignment horizontal="center" vertical="center"/>
    </xf>
    <xf numFmtId="3" fontId="26" fillId="10" borderId="2" xfId="0" applyNumberFormat="1" applyFont="1" applyFill="1" applyBorder="1" applyAlignment="1">
      <alignment horizontal="center" vertical="center"/>
    </xf>
    <xf numFmtId="3" fontId="37" fillId="10" borderId="2" xfId="0" applyNumberFormat="1" applyFont="1" applyFill="1" applyBorder="1" applyAlignment="1">
      <alignment horizontal="center" vertical="center"/>
    </xf>
    <xf numFmtId="0" fontId="38" fillId="10" borderId="2" xfId="0" applyFont="1" applyFill="1" applyBorder="1" applyAlignment="1">
      <alignment horizontal="center" vertical="center"/>
    </xf>
    <xf numFmtId="3" fontId="35" fillId="7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3" fontId="35" fillId="10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3" fontId="47" fillId="11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4" fontId="31" fillId="10" borderId="2" xfId="0" applyNumberFormat="1" applyFont="1" applyFill="1" applyBorder="1" applyAlignment="1">
      <alignment horizontal="center" vertical="center"/>
    </xf>
    <xf numFmtId="0" fontId="31" fillId="8" borderId="2" xfId="0" quotePrefix="1" applyFont="1" applyFill="1" applyBorder="1" applyAlignment="1">
      <alignment horizontal="center" vertical="center"/>
    </xf>
    <xf numFmtId="0" fontId="48" fillId="7" borderId="2" xfId="1" applyFill="1" applyBorder="1" applyAlignment="1">
      <alignment horizontal="left" vertical="center"/>
    </xf>
    <xf numFmtId="16" fontId="22" fillId="2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2" borderId="0" xfId="0" applyFill="1"/>
    <xf numFmtId="0" fontId="5" fillId="8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5" fillId="2" borderId="2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10" fontId="27" fillId="13" borderId="2" xfId="0" applyNumberFormat="1" applyFont="1" applyFill="1" applyBorder="1" applyAlignment="1">
      <alignment horizontal="left" vertical="center"/>
    </xf>
    <xf numFmtId="0" fontId="26" fillId="13" borderId="2" xfId="0" applyFont="1" applyFill="1" applyBorder="1" applyAlignment="1">
      <alignment horizontal="right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3" fontId="34" fillId="8" borderId="2" xfId="0" applyNumberFormat="1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/>
    </xf>
    <xf numFmtId="0" fontId="39" fillId="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10" borderId="2" xfId="0" applyFill="1" applyBorder="1"/>
    <xf numFmtId="164" fontId="43" fillId="17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7" borderId="2" xfId="0" applyFill="1" applyBorder="1"/>
    <xf numFmtId="0" fontId="40" fillId="2" borderId="0" xfId="0" applyFont="1" applyFill="1" applyAlignment="1">
      <alignment horizontal="center" vertical="center"/>
    </xf>
    <xf numFmtId="164" fontId="41" fillId="17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164" fontId="42" fillId="17" borderId="0" xfId="0" applyNumberFormat="1" applyFont="1" applyFill="1" applyAlignment="1">
      <alignment horizontal="center" vertical="center"/>
    </xf>
    <xf numFmtId="3" fontId="41" fillId="17" borderId="0" xfId="0" applyNumberFormat="1" applyFont="1" applyFill="1" applyAlignment="1">
      <alignment horizontal="center" vertical="center"/>
    </xf>
    <xf numFmtId="164" fontId="45" fillId="17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4" fontId="44" fillId="17" borderId="0" xfId="0" applyNumberFormat="1" applyFont="1" applyFill="1" applyAlignment="1">
      <alignment horizontal="center" vertical="center"/>
    </xf>
    <xf numFmtId="0" fontId="0" fillId="4" borderId="0" xfId="0" applyFill="1"/>
    <xf numFmtId="0" fontId="46" fillId="2" borderId="0" xfId="0" applyFont="1" applyFill="1" applyAlignment="1">
      <alignment horizontal="center" vertical="center"/>
    </xf>
    <xf numFmtId="10" fontId="42" fillId="17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0" fillId="6" borderId="0" xfId="0" applyFill="1"/>
    <xf numFmtId="0" fontId="0" fillId="5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J24"/>
  <sheetViews>
    <sheetView showGridLines="0" workbookViewId="0">
      <selection activeCell="F8" sqref="F8:J10"/>
    </sheetView>
  </sheetViews>
  <sheetFormatPr baseColWidth="10" defaultColWidth="8.88671875" defaultRowHeight="14.4" x14ac:dyDescent="0.3"/>
  <cols>
    <col min="1" max="1" width="14" customWidth="1"/>
    <col min="2" max="2" width="25.21875" customWidth="1"/>
    <col min="3" max="3" width="14" customWidth="1"/>
    <col min="4" max="4" width="24.44140625" customWidth="1"/>
    <col min="5" max="5" width="14" customWidth="1"/>
    <col min="6" max="6" width="23.109375" customWidth="1"/>
    <col min="7" max="7" width="14" customWidth="1"/>
    <col min="8" max="8" width="24.6640625" customWidth="1"/>
    <col min="9" max="9" width="14" customWidth="1"/>
    <col min="10" max="10" width="32.44140625" customWidth="1"/>
  </cols>
  <sheetData>
    <row r="1" spans="1:10" ht="40.799999999999997" customHeight="1" x14ac:dyDescent="0.3">
      <c r="A1" s="106" t="s">
        <v>168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30" customHeight="1" x14ac:dyDescent="0.3">
      <c r="A2" s="111" t="s">
        <v>0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0" ht="49.95" customHeight="1" x14ac:dyDescent="0.3">
      <c r="A3" s="107" t="s">
        <v>1</v>
      </c>
      <c r="B3" s="105"/>
      <c r="C3" s="105"/>
      <c r="D3" s="105"/>
      <c r="E3" s="105"/>
      <c r="F3" s="105"/>
      <c r="G3" s="105"/>
      <c r="H3" s="105"/>
      <c r="I3" s="105"/>
      <c r="J3" s="105"/>
    </row>
    <row r="4" spans="1:10" ht="25.05" customHeight="1" x14ac:dyDescent="0.3">
      <c r="A4" s="109"/>
      <c r="B4" s="105"/>
      <c r="C4" s="105"/>
      <c r="D4" s="105"/>
      <c r="E4" s="105"/>
      <c r="F4" s="105"/>
      <c r="G4" s="105"/>
      <c r="H4" s="105"/>
      <c r="I4" s="105"/>
      <c r="J4" s="105"/>
    </row>
    <row r="5" spans="1:10" ht="15" customHeight="1" x14ac:dyDescent="0.3"/>
    <row r="6" spans="1:10" ht="49.95" customHeight="1" x14ac:dyDescent="0.3">
      <c r="B6" s="1" t="s">
        <v>2</v>
      </c>
      <c r="D6" s="2" t="s">
        <v>3</v>
      </c>
      <c r="F6" s="3" t="s">
        <v>4</v>
      </c>
      <c r="H6" s="4" t="s">
        <v>5</v>
      </c>
      <c r="J6" s="5" t="s">
        <v>6</v>
      </c>
    </row>
    <row r="7" spans="1:10" ht="15" customHeight="1" x14ac:dyDescent="0.3"/>
    <row r="8" spans="1:10" ht="30" customHeight="1" x14ac:dyDescent="0.3">
      <c r="B8" s="108" t="s">
        <v>7</v>
      </c>
      <c r="C8" s="105"/>
      <c r="D8" s="105"/>
      <c r="E8" s="105"/>
      <c r="F8" s="110" t="s">
        <v>166</v>
      </c>
      <c r="G8" s="105"/>
      <c r="H8" s="105"/>
      <c r="I8" s="105"/>
      <c r="J8" s="105"/>
    </row>
    <row r="9" spans="1:10" ht="30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</row>
    <row r="10" spans="1:10" ht="30" customHeight="1" x14ac:dyDescent="0.3">
      <c r="B10" s="105"/>
      <c r="C10" s="105"/>
      <c r="D10" s="105"/>
      <c r="E10" s="105"/>
      <c r="F10" s="105"/>
      <c r="G10" s="105"/>
      <c r="H10" s="105"/>
      <c r="I10" s="105"/>
      <c r="J10" s="105"/>
    </row>
    <row r="11" spans="1:10" ht="25.05" customHeight="1" x14ac:dyDescent="0.3"/>
    <row r="12" spans="1:10" ht="25.05" customHeight="1" x14ac:dyDescent="0.3">
      <c r="B12" s="112" t="s">
        <v>8</v>
      </c>
      <c r="C12" s="105"/>
      <c r="D12" s="105"/>
      <c r="E12" s="105"/>
      <c r="F12" s="105"/>
      <c r="G12" s="105"/>
      <c r="H12" s="105"/>
      <c r="I12" s="105"/>
      <c r="J12" s="105"/>
    </row>
    <row r="13" spans="1:10" ht="25.05" customHeight="1" x14ac:dyDescent="0.3">
      <c r="B13" s="105"/>
      <c r="C13" s="105"/>
      <c r="D13" s="105"/>
      <c r="E13" s="105"/>
      <c r="F13" s="105"/>
      <c r="G13" s="105"/>
      <c r="H13" s="105"/>
      <c r="I13" s="105"/>
      <c r="J13" s="105"/>
    </row>
    <row r="14" spans="1:10" ht="25.05" customHeight="1" x14ac:dyDescent="0.3"/>
    <row r="15" spans="1:10" ht="19.95" customHeight="1" x14ac:dyDescent="0.3">
      <c r="B15" s="104" t="s">
        <v>9</v>
      </c>
      <c r="C15" s="105"/>
      <c r="D15" s="105"/>
      <c r="E15" s="105"/>
      <c r="F15" s="105"/>
      <c r="G15" s="105"/>
      <c r="H15" s="105"/>
      <c r="I15" s="105"/>
      <c r="J15" s="105"/>
    </row>
    <row r="16" spans="1:10" ht="25.05" customHeight="1" x14ac:dyDescent="0.3"/>
    <row r="17" customFormat="1" ht="25.05" customHeight="1" x14ac:dyDescent="0.3"/>
    <row r="18" customFormat="1" ht="25.05" customHeight="1" x14ac:dyDescent="0.3"/>
    <row r="19" customFormat="1" ht="25.05" customHeight="1" x14ac:dyDescent="0.3"/>
    <row r="20" customFormat="1" x14ac:dyDescent="0.3"/>
    <row r="24" customFormat="1" x14ac:dyDescent="0.3"/>
  </sheetData>
  <mergeCells count="8">
    <mergeCell ref="B15:J15"/>
    <mergeCell ref="A1:J1"/>
    <mergeCell ref="A3:J3"/>
    <mergeCell ref="B8:E10"/>
    <mergeCell ref="A4:J4"/>
    <mergeCell ref="F8:J10"/>
    <mergeCell ref="A2:J2"/>
    <mergeCell ref="B12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E13"/>
  <sheetViews>
    <sheetView showGridLines="0" topLeftCell="A2" workbookViewId="0">
      <selection activeCell="A9" sqref="A9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3" width="12" customWidth="1"/>
    <col min="4" max="4" width="35" customWidth="1"/>
    <col min="5" max="5" width="15" customWidth="1"/>
  </cols>
  <sheetData>
    <row r="1" spans="1:5" ht="45" customHeight="1" x14ac:dyDescent="0.3">
      <c r="A1" s="114" t="s">
        <v>165</v>
      </c>
      <c r="B1" s="105"/>
      <c r="C1" s="105"/>
      <c r="D1" s="105"/>
      <c r="E1" s="105"/>
    </row>
    <row r="2" spans="1:5" ht="19.95" customHeight="1" x14ac:dyDescent="0.3">
      <c r="A2" s="113" t="s">
        <v>10</v>
      </c>
      <c r="B2" s="105"/>
      <c r="C2" s="105"/>
      <c r="D2" s="105"/>
      <c r="E2" s="105"/>
    </row>
    <row r="3" spans="1:5" ht="30" customHeight="1" x14ac:dyDescent="0.3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</row>
    <row r="4" spans="1:5" ht="28.05" customHeight="1" x14ac:dyDescent="0.3">
      <c r="A4" s="7" t="s">
        <v>156</v>
      </c>
      <c r="B4" s="8">
        <v>0.12</v>
      </c>
      <c r="C4" s="9" t="s">
        <v>16</v>
      </c>
      <c r="D4" s="7" t="s">
        <v>17</v>
      </c>
      <c r="E4" s="9" t="s">
        <v>18</v>
      </c>
    </row>
    <row r="5" spans="1:5" ht="28.05" customHeight="1" x14ac:dyDescent="0.3">
      <c r="A5" s="10" t="s">
        <v>19</v>
      </c>
      <c r="B5" s="11">
        <v>2500</v>
      </c>
      <c r="C5" s="12" t="s">
        <v>20</v>
      </c>
      <c r="D5" s="10" t="s">
        <v>21</v>
      </c>
      <c r="E5" s="12" t="s">
        <v>22</v>
      </c>
    </row>
    <row r="6" spans="1:5" ht="28.05" customHeight="1" x14ac:dyDescent="0.3">
      <c r="A6" s="7" t="s">
        <v>23</v>
      </c>
      <c r="B6" s="13">
        <v>100</v>
      </c>
      <c r="C6" s="9" t="s">
        <v>20</v>
      </c>
      <c r="D6" s="7" t="s">
        <v>24</v>
      </c>
      <c r="E6" s="9" t="s">
        <v>22</v>
      </c>
    </row>
    <row r="7" spans="1:5" ht="28.05" customHeight="1" x14ac:dyDescent="0.3">
      <c r="A7" s="10" t="s">
        <v>25</v>
      </c>
      <c r="B7" s="11">
        <v>1000</v>
      </c>
      <c r="C7" s="12" t="s">
        <v>20</v>
      </c>
      <c r="D7" s="10" t="s">
        <v>26</v>
      </c>
      <c r="E7" s="12" t="s">
        <v>22</v>
      </c>
    </row>
    <row r="8" spans="1:5" ht="28.05" customHeight="1" x14ac:dyDescent="0.3">
      <c r="A8" s="7" t="s">
        <v>27</v>
      </c>
      <c r="B8" s="8">
        <v>0.02</v>
      </c>
      <c r="C8" s="9" t="s">
        <v>16</v>
      </c>
      <c r="D8" s="7" t="s">
        <v>28</v>
      </c>
      <c r="E8" s="9" t="s">
        <v>22</v>
      </c>
    </row>
    <row r="9" spans="1:5" ht="28.05" customHeight="1" x14ac:dyDescent="0.3">
      <c r="A9" s="10" t="s">
        <v>29</v>
      </c>
      <c r="B9" s="14">
        <v>12</v>
      </c>
      <c r="C9" s="12" t="s">
        <v>30</v>
      </c>
      <c r="D9" s="10" t="s">
        <v>31</v>
      </c>
      <c r="E9" s="12" t="s">
        <v>22</v>
      </c>
    </row>
    <row r="10" spans="1:5" ht="28.05" customHeight="1" x14ac:dyDescent="0.3">
      <c r="A10" s="7" t="s">
        <v>32</v>
      </c>
      <c r="B10" s="15">
        <v>23</v>
      </c>
      <c r="C10" s="9" t="s">
        <v>33</v>
      </c>
      <c r="D10" s="7" t="s">
        <v>34</v>
      </c>
      <c r="E10" s="9" t="s">
        <v>35</v>
      </c>
    </row>
    <row r="11" spans="1:5" ht="28.05" customHeight="1" x14ac:dyDescent="0.3">
      <c r="A11" s="10" t="s">
        <v>36</v>
      </c>
      <c r="B11" s="11">
        <v>2027</v>
      </c>
      <c r="C11" s="12" t="s">
        <v>37</v>
      </c>
      <c r="D11" s="10" t="s">
        <v>38</v>
      </c>
      <c r="E11" s="12" t="s">
        <v>22</v>
      </c>
    </row>
    <row r="13" spans="1:5" ht="34.950000000000003" customHeight="1" x14ac:dyDescent="0.3">
      <c r="A13" s="115" t="s">
        <v>39</v>
      </c>
      <c r="B13" s="105"/>
      <c r="C13" s="105"/>
      <c r="D13" s="105"/>
      <c r="E13" s="105"/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7346"/>
  </sheetPr>
  <dimension ref="A1:J28"/>
  <sheetViews>
    <sheetView showGridLines="0" tabSelected="1" workbookViewId="0">
      <pane ySplit="4" topLeftCell="A22" activePane="bottomLeft" state="frozen"/>
      <selection pane="bottomLeft" activeCell="N24" sqref="N24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16" customWidth="1"/>
    <col min="8" max="8" width="18" customWidth="1"/>
    <col min="9" max="9" width="15" customWidth="1"/>
    <col min="10" max="10" width="12" customWidth="1"/>
  </cols>
  <sheetData>
    <row r="1" spans="1:10" ht="45" customHeight="1" x14ac:dyDescent="0.3">
      <c r="A1" s="117" t="s">
        <v>164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19.95" customHeight="1" x14ac:dyDescent="0.3">
      <c r="A2" s="118" t="s">
        <v>40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0" ht="15" customHeight="1" x14ac:dyDescent="0.3"/>
    <row r="4" spans="1:10" ht="30" customHeight="1" x14ac:dyDescent="0.3">
      <c r="A4" s="16" t="s">
        <v>41</v>
      </c>
      <c r="B4" s="16" t="s">
        <v>42</v>
      </c>
      <c r="C4" s="16" t="s">
        <v>43</v>
      </c>
      <c r="D4" s="16" t="s">
        <v>44</v>
      </c>
      <c r="E4" s="16" t="s">
        <v>45</v>
      </c>
      <c r="F4" s="16" t="s">
        <v>46</v>
      </c>
      <c r="G4" s="16" t="s">
        <v>47</v>
      </c>
      <c r="H4" s="16" t="s">
        <v>48</v>
      </c>
      <c r="I4" s="16" t="s">
        <v>49</v>
      </c>
      <c r="J4" s="16" t="s">
        <v>50</v>
      </c>
    </row>
    <row r="5" spans="1:10" ht="22.05" customHeight="1" x14ac:dyDescent="0.3">
      <c r="A5" s="17">
        <v>1</v>
      </c>
      <c r="B5" s="18"/>
      <c r="C5" s="18"/>
      <c r="D5" s="18"/>
      <c r="E5" s="18"/>
      <c r="F5" s="19"/>
      <c r="G5" s="18"/>
      <c r="H5" s="18"/>
      <c r="I5" s="18"/>
      <c r="J5" s="20" t="s">
        <v>52</v>
      </c>
    </row>
    <row r="6" spans="1:10" ht="22.05" customHeight="1" x14ac:dyDescent="0.3">
      <c r="A6" s="17">
        <v>2</v>
      </c>
      <c r="B6" s="21"/>
      <c r="C6" s="21"/>
      <c r="D6" s="21"/>
      <c r="E6" s="21"/>
      <c r="F6" s="22"/>
      <c r="G6" s="21"/>
      <c r="H6" s="21"/>
      <c r="I6" s="21"/>
      <c r="J6" s="20" t="s">
        <v>52</v>
      </c>
    </row>
    <row r="7" spans="1:10" ht="22.05" customHeight="1" x14ac:dyDescent="0.3">
      <c r="A7" s="17">
        <v>3</v>
      </c>
      <c r="B7" s="18"/>
      <c r="C7" s="18"/>
      <c r="D7" s="18"/>
      <c r="E7" s="18"/>
      <c r="F7" s="19"/>
      <c r="G7" s="18"/>
      <c r="H7" s="18"/>
      <c r="I7" s="18"/>
      <c r="J7" s="20" t="s">
        <v>52</v>
      </c>
    </row>
    <row r="8" spans="1:10" ht="22.05" customHeight="1" x14ac:dyDescent="0.3">
      <c r="A8" s="17">
        <v>4</v>
      </c>
      <c r="B8" s="21"/>
      <c r="C8" s="21"/>
      <c r="D8" s="21"/>
      <c r="E8" s="21"/>
      <c r="F8" s="22"/>
      <c r="G8" s="21"/>
      <c r="H8" s="21"/>
      <c r="I8" s="21"/>
      <c r="J8" s="20" t="s">
        <v>52</v>
      </c>
    </row>
    <row r="9" spans="1:10" ht="22.05" customHeight="1" x14ac:dyDescent="0.3">
      <c r="A9" s="17">
        <v>5</v>
      </c>
      <c r="B9" s="18"/>
      <c r="C9" s="18"/>
      <c r="D9" s="18"/>
      <c r="E9" s="18"/>
      <c r="F9" s="19"/>
      <c r="G9" s="18"/>
      <c r="H9" s="18"/>
      <c r="I9" s="18"/>
      <c r="J9" s="20" t="s">
        <v>52</v>
      </c>
    </row>
    <row r="10" spans="1:10" ht="22.05" customHeight="1" x14ac:dyDescent="0.3">
      <c r="A10" s="17">
        <v>6</v>
      </c>
      <c r="B10" s="21"/>
      <c r="C10" s="21"/>
      <c r="D10" s="21"/>
      <c r="E10" s="102"/>
      <c r="F10" s="22"/>
      <c r="G10" s="21"/>
      <c r="H10" s="21"/>
      <c r="I10" s="21"/>
      <c r="J10" s="20" t="s">
        <v>52</v>
      </c>
    </row>
    <row r="11" spans="1:10" ht="22.05" customHeight="1" x14ac:dyDescent="0.3">
      <c r="A11" s="17">
        <v>7</v>
      </c>
      <c r="B11" s="18"/>
      <c r="C11" s="18"/>
      <c r="D11" s="18"/>
      <c r="E11" s="18"/>
      <c r="F11" s="19"/>
      <c r="G11" s="18"/>
      <c r="H11" s="18"/>
      <c r="I11" s="18"/>
      <c r="J11" s="20" t="s">
        <v>52</v>
      </c>
    </row>
    <row r="12" spans="1:10" ht="22.05" customHeight="1" x14ac:dyDescent="0.3">
      <c r="A12" s="17">
        <v>8</v>
      </c>
      <c r="B12" s="21"/>
      <c r="C12" s="21"/>
      <c r="D12" s="21"/>
      <c r="E12" s="21"/>
      <c r="F12" s="22"/>
      <c r="G12" s="21"/>
      <c r="H12" s="21"/>
      <c r="I12" s="21"/>
      <c r="J12" s="20" t="s">
        <v>52</v>
      </c>
    </row>
    <row r="13" spans="1:10" ht="22.05" customHeight="1" x14ac:dyDescent="0.3">
      <c r="A13" s="17">
        <v>9</v>
      </c>
      <c r="B13" s="18"/>
      <c r="C13" s="18"/>
      <c r="D13" s="18"/>
      <c r="E13" s="18"/>
      <c r="F13" s="19"/>
      <c r="G13" s="18"/>
      <c r="H13" s="18"/>
      <c r="I13" s="18"/>
      <c r="J13" s="20" t="s">
        <v>52</v>
      </c>
    </row>
    <row r="14" spans="1:10" ht="22.05" customHeight="1" x14ac:dyDescent="0.3">
      <c r="A14" s="17">
        <v>10</v>
      </c>
      <c r="B14" s="21"/>
      <c r="C14" s="21"/>
      <c r="D14" s="21"/>
      <c r="E14" s="21"/>
      <c r="F14" s="22"/>
      <c r="G14" s="21"/>
      <c r="H14" s="21"/>
      <c r="I14" s="21"/>
      <c r="J14" s="20" t="s">
        <v>52</v>
      </c>
    </row>
    <row r="15" spans="1:10" ht="22.05" customHeight="1" x14ac:dyDescent="0.3">
      <c r="A15" s="17">
        <v>11</v>
      </c>
      <c r="B15" s="18"/>
      <c r="C15" s="18"/>
      <c r="D15" s="18"/>
      <c r="E15" s="18"/>
      <c r="F15" s="19"/>
      <c r="G15" s="18"/>
      <c r="H15" s="18"/>
      <c r="I15" s="18"/>
      <c r="J15" s="20" t="s">
        <v>52</v>
      </c>
    </row>
    <row r="16" spans="1:10" ht="22.05" customHeight="1" x14ac:dyDescent="0.3">
      <c r="A16" s="17">
        <v>12</v>
      </c>
      <c r="B16" s="21"/>
      <c r="C16" s="21"/>
      <c r="D16" s="21"/>
      <c r="E16" s="21"/>
      <c r="F16" s="22"/>
      <c r="G16" s="21"/>
      <c r="H16" s="21"/>
      <c r="I16" s="21"/>
      <c r="J16" s="20" t="s">
        <v>52</v>
      </c>
    </row>
    <row r="17" spans="1:10" ht="22.05" customHeight="1" x14ac:dyDescent="0.3">
      <c r="A17" s="17">
        <v>13</v>
      </c>
      <c r="B17" s="18"/>
      <c r="C17" s="18"/>
      <c r="D17" s="18"/>
      <c r="E17" s="18"/>
      <c r="F17" s="19"/>
      <c r="G17" s="18"/>
      <c r="H17" s="18"/>
      <c r="I17" s="18"/>
      <c r="J17" s="20" t="s">
        <v>52</v>
      </c>
    </row>
    <row r="18" spans="1:10" ht="22.05" customHeight="1" x14ac:dyDescent="0.3">
      <c r="A18" s="17">
        <v>14</v>
      </c>
      <c r="B18" s="21"/>
      <c r="C18" s="21"/>
      <c r="D18" s="21"/>
      <c r="E18" s="21"/>
      <c r="F18" s="22"/>
      <c r="G18" s="21"/>
      <c r="H18" s="21"/>
      <c r="I18" s="21"/>
      <c r="J18" s="20" t="s">
        <v>52</v>
      </c>
    </row>
    <row r="19" spans="1:10" ht="22.05" customHeight="1" x14ac:dyDescent="0.3">
      <c r="A19" s="17">
        <v>15</v>
      </c>
      <c r="B19" s="18"/>
      <c r="C19" s="18"/>
      <c r="D19" s="18"/>
      <c r="E19" s="18"/>
      <c r="F19" s="19"/>
      <c r="G19" s="18"/>
      <c r="H19" s="18"/>
      <c r="I19" s="18"/>
      <c r="J19" s="20" t="s">
        <v>52</v>
      </c>
    </row>
    <row r="20" spans="1:10" ht="22.05" customHeight="1" x14ac:dyDescent="0.3">
      <c r="A20" s="17">
        <v>16</v>
      </c>
      <c r="B20" s="21"/>
      <c r="C20" s="21"/>
      <c r="D20" s="21"/>
      <c r="E20" s="21"/>
      <c r="F20" s="22"/>
      <c r="G20" s="21"/>
      <c r="H20" s="21"/>
      <c r="I20" s="21"/>
      <c r="J20" s="20" t="s">
        <v>52</v>
      </c>
    </row>
    <row r="21" spans="1:10" ht="22.05" customHeight="1" x14ac:dyDescent="0.3">
      <c r="A21" s="17">
        <v>17</v>
      </c>
      <c r="B21" s="18"/>
      <c r="C21" s="18"/>
      <c r="D21" s="18"/>
      <c r="E21" s="18"/>
      <c r="F21" s="19"/>
      <c r="G21" s="18"/>
      <c r="H21" s="18"/>
      <c r="I21" s="18"/>
      <c r="J21" s="20" t="s">
        <v>52</v>
      </c>
    </row>
    <row r="22" spans="1:10" ht="22.05" customHeight="1" x14ac:dyDescent="0.3">
      <c r="A22" s="17">
        <v>18</v>
      </c>
      <c r="B22" s="21"/>
      <c r="C22" s="21"/>
      <c r="D22" s="21"/>
      <c r="E22" s="21"/>
      <c r="F22" s="22"/>
      <c r="G22" s="21"/>
      <c r="H22" s="21"/>
      <c r="I22" s="21"/>
      <c r="J22" s="20" t="s">
        <v>52</v>
      </c>
    </row>
    <row r="23" spans="1:10" ht="22.05" customHeight="1" x14ac:dyDescent="0.3">
      <c r="A23" s="17">
        <v>19</v>
      </c>
      <c r="B23" s="18"/>
      <c r="C23" s="18"/>
      <c r="D23" s="18"/>
      <c r="E23" s="18"/>
      <c r="F23" s="19"/>
      <c r="G23" s="18"/>
      <c r="H23" s="18"/>
      <c r="I23" s="18"/>
      <c r="J23" s="20" t="s">
        <v>52</v>
      </c>
    </row>
    <row r="24" spans="1:10" ht="22.05" customHeight="1" x14ac:dyDescent="0.3">
      <c r="A24" s="17">
        <v>20</v>
      </c>
      <c r="B24" s="21"/>
      <c r="C24" s="21"/>
      <c r="D24" s="21"/>
      <c r="E24" s="21"/>
      <c r="F24" s="22"/>
      <c r="G24" s="21"/>
      <c r="H24" s="21"/>
      <c r="I24" s="21"/>
      <c r="J24" s="20" t="s">
        <v>52</v>
      </c>
    </row>
    <row r="25" spans="1:10" ht="22.05" customHeight="1" x14ac:dyDescent="0.3">
      <c r="A25" s="17">
        <v>21</v>
      </c>
      <c r="B25" s="18"/>
      <c r="C25" s="18"/>
      <c r="D25" s="18"/>
      <c r="E25" s="18"/>
      <c r="F25" s="19"/>
      <c r="G25" s="18"/>
      <c r="H25" s="18"/>
      <c r="I25" s="18"/>
      <c r="J25" s="20" t="s">
        <v>52</v>
      </c>
    </row>
    <row r="26" spans="1:10" ht="22.05" customHeight="1" x14ac:dyDescent="0.3">
      <c r="A26" s="17">
        <v>22</v>
      </c>
      <c r="B26" s="21"/>
      <c r="C26" s="21"/>
      <c r="D26" s="21"/>
      <c r="E26" s="21"/>
      <c r="F26" s="22"/>
      <c r="G26" s="21"/>
      <c r="H26" s="21"/>
      <c r="I26" s="21"/>
      <c r="J26" s="20" t="s">
        <v>52</v>
      </c>
    </row>
    <row r="27" spans="1:10" ht="22.05" customHeight="1" x14ac:dyDescent="0.3">
      <c r="A27" s="17">
        <v>23</v>
      </c>
      <c r="B27" s="18"/>
      <c r="C27" s="18"/>
      <c r="D27" s="18"/>
      <c r="E27" s="18"/>
      <c r="F27" s="19"/>
      <c r="G27" s="18"/>
      <c r="H27" s="18"/>
      <c r="I27" s="18"/>
      <c r="J27" s="20" t="s">
        <v>52</v>
      </c>
    </row>
    <row r="28" spans="1:10" ht="25.05" customHeight="1" x14ac:dyDescent="0.3">
      <c r="A28" s="116" t="s">
        <v>53</v>
      </c>
      <c r="B28" s="105"/>
      <c r="C28" s="105"/>
      <c r="D28" s="105"/>
      <c r="E28" s="105"/>
      <c r="F28" s="105"/>
      <c r="G28" s="105"/>
      <c r="H28" s="105"/>
      <c r="I28" s="105"/>
      <c r="J28" s="6">
        <f>COUNTIF(J5:J27,"Actif")</f>
        <v>23</v>
      </c>
    </row>
  </sheetData>
  <mergeCells count="3">
    <mergeCell ref="A28:I28"/>
    <mergeCell ref="A1:J1"/>
    <mergeCell ref="A2:J2"/>
  </mergeCells>
  <dataValidations count="2">
    <dataValidation type="list" allowBlank="1" sqref="J5:J100" xr:uid="{00000000-0002-0000-0200-000000000000}">
      <formula1>"Actif,Inactif,Suspendu"</formula1>
    </dataValidation>
    <dataValidation type="list" allowBlank="1" sqref="F5:F100" xr:uid="{00000000-0002-0000-0200-000001000000}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BG2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I6" sqref="I6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20" customWidth="1"/>
    <col min="4" max="4" width="12" customWidth="1"/>
    <col min="5" max="56" width="7" customWidth="1"/>
    <col min="57" max="58" width="14" customWidth="1"/>
    <col min="59" max="59" width="12" customWidth="1"/>
  </cols>
  <sheetData>
    <row r="1" spans="1:59" ht="40.049999999999997" customHeight="1" x14ac:dyDescent="0.3">
      <c r="A1" s="119" t="s">
        <v>54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</row>
    <row r="2" spans="1:59" ht="19.95" customHeight="1" x14ac:dyDescent="0.3">
      <c r="A2" s="123" t="s">
        <v>55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</row>
    <row r="3" spans="1:59" ht="22.05" customHeight="1" x14ac:dyDescent="0.3">
      <c r="E3" s="121" t="s">
        <v>56</v>
      </c>
      <c r="F3" s="105"/>
      <c r="G3" s="105"/>
      <c r="H3" s="105"/>
      <c r="I3" s="105"/>
      <c r="J3" s="122" t="s">
        <v>57</v>
      </c>
      <c r="K3" s="105"/>
      <c r="L3" s="105"/>
      <c r="M3" s="105"/>
      <c r="N3" s="121" t="s">
        <v>58</v>
      </c>
      <c r="O3" s="105"/>
      <c r="P3" s="105"/>
      <c r="Q3" s="105"/>
      <c r="R3" s="122" t="s">
        <v>59</v>
      </c>
      <c r="S3" s="105"/>
      <c r="T3" s="105"/>
      <c r="U3" s="105"/>
      <c r="V3" s="121" t="s">
        <v>60</v>
      </c>
      <c r="W3" s="105"/>
      <c r="X3" s="105"/>
      <c r="Y3" s="105"/>
      <c r="Z3" s="105"/>
      <c r="AA3" s="122" t="s">
        <v>61</v>
      </c>
      <c r="AB3" s="105"/>
      <c r="AC3" s="105"/>
      <c r="AD3" s="105"/>
      <c r="AE3" s="121" t="s">
        <v>62</v>
      </c>
      <c r="AF3" s="105"/>
      <c r="AG3" s="105"/>
      <c r="AH3" s="105"/>
      <c r="AI3" s="122" t="s">
        <v>63</v>
      </c>
      <c r="AJ3" s="105"/>
      <c r="AK3" s="105"/>
      <c r="AL3" s="105"/>
      <c r="AM3" s="105"/>
      <c r="AN3" s="121" t="s">
        <v>64</v>
      </c>
      <c r="AO3" s="105"/>
      <c r="AP3" s="105"/>
      <c r="AQ3" s="105"/>
      <c r="AR3" s="122" t="s">
        <v>65</v>
      </c>
      <c r="AS3" s="105"/>
      <c r="AT3" s="105"/>
      <c r="AU3" s="105"/>
      <c r="AV3" s="105"/>
      <c r="AW3" s="121" t="s">
        <v>66</v>
      </c>
      <c r="AX3" s="105"/>
      <c r="AY3" s="105"/>
      <c r="AZ3" s="105"/>
      <c r="BA3" s="122" t="s">
        <v>67</v>
      </c>
      <c r="BB3" s="105"/>
      <c r="BC3" s="105"/>
      <c r="BD3" s="105"/>
    </row>
    <row r="4" spans="1:59" ht="55.05" customHeight="1" x14ac:dyDescent="0.3">
      <c r="A4" s="23" t="s">
        <v>41</v>
      </c>
      <c r="B4" s="23" t="s">
        <v>42</v>
      </c>
      <c r="C4" s="23" t="s">
        <v>43</v>
      </c>
      <c r="D4" s="23" t="s">
        <v>68</v>
      </c>
      <c r="E4" s="103">
        <v>46390</v>
      </c>
      <c r="F4" s="103">
        <v>46032</v>
      </c>
      <c r="G4" s="103">
        <v>46404</v>
      </c>
      <c r="H4" s="103">
        <v>46411</v>
      </c>
      <c r="I4" s="103">
        <v>46418</v>
      </c>
      <c r="J4" s="103">
        <v>46425</v>
      </c>
      <c r="K4" s="103">
        <v>46432</v>
      </c>
      <c r="L4" s="103">
        <v>46439</v>
      </c>
      <c r="M4" s="103">
        <v>46446</v>
      </c>
      <c r="N4" s="103">
        <v>46453</v>
      </c>
      <c r="O4" s="103">
        <v>46460</v>
      </c>
      <c r="P4" s="103">
        <v>46467</v>
      </c>
      <c r="Q4" s="103">
        <v>46474</v>
      </c>
      <c r="R4" s="103">
        <v>46481</v>
      </c>
      <c r="S4" s="103">
        <v>46488</v>
      </c>
      <c r="T4" s="103">
        <v>46495</v>
      </c>
      <c r="U4" s="103">
        <v>46502</v>
      </c>
      <c r="V4" s="103">
        <v>46509</v>
      </c>
      <c r="W4" s="103">
        <v>46516</v>
      </c>
      <c r="X4" s="103">
        <v>46523</v>
      </c>
      <c r="Y4" s="103">
        <v>46530</v>
      </c>
      <c r="Z4" s="103">
        <v>46537</v>
      </c>
      <c r="AA4" s="103">
        <v>46544</v>
      </c>
      <c r="AB4" s="103">
        <v>46551</v>
      </c>
      <c r="AC4" s="103">
        <v>46558</v>
      </c>
      <c r="AD4" s="103">
        <v>46565</v>
      </c>
      <c r="AE4" s="103">
        <v>46572</v>
      </c>
      <c r="AF4" s="103">
        <v>46579</v>
      </c>
      <c r="AG4" s="103">
        <v>46586</v>
      </c>
      <c r="AH4" s="103">
        <v>46593</v>
      </c>
      <c r="AI4" s="103">
        <v>46600</v>
      </c>
      <c r="AJ4" s="103">
        <v>46607</v>
      </c>
      <c r="AK4" s="103">
        <v>46614</v>
      </c>
      <c r="AL4" s="103">
        <v>46621</v>
      </c>
      <c r="AM4" s="103">
        <v>46628</v>
      </c>
      <c r="AN4" s="103">
        <v>46635</v>
      </c>
      <c r="AO4" s="103">
        <v>46642</v>
      </c>
      <c r="AP4" s="103">
        <v>46649</v>
      </c>
      <c r="AQ4" s="103">
        <v>46656</v>
      </c>
      <c r="AR4" s="103">
        <v>46663</v>
      </c>
      <c r="AS4" s="103">
        <v>46670</v>
      </c>
      <c r="AT4" s="103">
        <v>46677</v>
      </c>
      <c r="AU4" s="103">
        <v>46319</v>
      </c>
      <c r="AV4" s="103">
        <v>46326</v>
      </c>
      <c r="AW4" s="103">
        <v>46333</v>
      </c>
      <c r="AX4" s="103">
        <v>46340</v>
      </c>
      <c r="AY4" s="103">
        <v>46347</v>
      </c>
      <c r="AZ4" s="103">
        <v>46354</v>
      </c>
      <c r="BA4" s="103">
        <v>46361</v>
      </c>
      <c r="BB4" s="103">
        <v>46368</v>
      </c>
      <c r="BC4" s="103">
        <v>46375</v>
      </c>
      <c r="BD4" s="103">
        <v>46382</v>
      </c>
      <c r="BE4" s="24" t="s">
        <v>69</v>
      </c>
      <c r="BF4" s="24" t="s">
        <v>70</v>
      </c>
      <c r="BG4" s="24" t="s">
        <v>50</v>
      </c>
    </row>
    <row r="5" spans="1:59" ht="19.95" customHeight="1" x14ac:dyDescent="0.3">
      <c r="A5" s="17">
        <v>1</v>
      </c>
      <c r="B5" s="25"/>
      <c r="C5" s="25"/>
      <c r="D5" s="26"/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9">
        <f t="shared" ref="BE5:BE27" si="0">SUM(E5:BD5)</f>
        <v>0</v>
      </c>
      <c r="BF5" s="30">
        <f t="shared" ref="BF5:BF27" si="1">COUNTA(E5:BD5)</f>
        <v>0</v>
      </c>
      <c r="BG5" s="31" t="str">
        <f t="shared" ref="BG5:BG27" si="2">IF(BE5=0,"⬜ Aucun",IF(BE5&gt;=D5*10,"✅ À jour","⚠️ Retard"))</f>
        <v>⬜ Aucun</v>
      </c>
    </row>
    <row r="6" spans="1:59" ht="19.95" customHeight="1" x14ac:dyDescent="0.3">
      <c r="A6" s="17">
        <v>2</v>
      </c>
      <c r="B6" s="32"/>
      <c r="C6" s="32"/>
      <c r="D6" s="33"/>
      <c r="E6" s="27"/>
      <c r="F6" s="27"/>
      <c r="G6" s="27"/>
      <c r="H6" s="27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9">
        <f t="shared" si="0"/>
        <v>0</v>
      </c>
      <c r="BF6" s="34">
        <f t="shared" si="1"/>
        <v>0</v>
      </c>
      <c r="BG6" s="31" t="str">
        <f t="shared" si="2"/>
        <v>⬜ Aucun</v>
      </c>
    </row>
    <row r="7" spans="1:59" ht="19.95" customHeight="1" x14ac:dyDescent="0.3">
      <c r="A7" s="17">
        <v>3</v>
      </c>
      <c r="B7" s="25"/>
      <c r="C7" s="25"/>
      <c r="D7" s="26"/>
      <c r="E7" s="27"/>
      <c r="F7" s="27"/>
      <c r="G7" s="27"/>
      <c r="H7" s="27"/>
      <c r="I7" s="27"/>
      <c r="J7" s="27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9">
        <f t="shared" si="0"/>
        <v>0</v>
      </c>
      <c r="BF7" s="30">
        <f t="shared" si="1"/>
        <v>0</v>
      </c>
      <c r="BG7" s="31" t="str">
        <f t="shared" si="2"/>
        <v>⬜ Aucun</v>
      </c>
    </row>
    <row r="8" spans="1:59" ht="19.95" customHeight="1" x14ac:dyDescent="0.3">
      <c r="A8" s="17">
        <v>4</v>
      </c>
      <c r="B8" s="32"/>
      <c r="C8" s="32"/>
      <c r="D8" s="33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9">
        <f t="shared" si="0"/>
        <v>0</v>
      </c>
      <c r="BF8" s="34">
        <f t="shared" si="1"/>
        <v>0</v>
      </c>
      <c r="BG8" s="31" t="str">
        <f t="shared" si="2"/>
        <v>⬜ Aucun</v>
      </c>
    </row>
    <row r="9" spans="1:59" ht="19.95" customHeight="1" x14ac:dyDescent="0.3">
      <c r="A9" s="17">
        <v>5</v>
      </c>
      <c r="B9" s="25"/>
      <c r="C9" s="25"/>
      <c r="D9" s="26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9">
        <f t="shared" si="0"/>
        <v>0</v>
      </c>
      <c r="BF9" s="30">
        <f t="shared" si="1"/>
        <v>0</v>
      </c>
      <c r="BG9" s="31" t="str">
        <f t="shared" si="2"/>
        <v>⬜ Aucun</v>
      </c>
    </row>
    <row r="10" spans="1:59" ht="19.95" customHeight="1" x14ac:dyDescent="0.3">
      <c r="A10" s="17">
        <v>6</v>
      </c>
      <c r="B10" s="32"/>
      <c r="C10" s="32"/>
      <c r="D10" s="33"/>
      <c r="E10" s="27"/>
      <c r="F10" s="27"/>
      <c r="G10" s="27"/>
      <c r="H10" s="27"/>
      <c r="I10" s="27"/>
      <c r="J10" s="27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9">
        <f t="shared" si="0"/>
        <v>0</v>
      </c>
      <c r="BF10" s="34">
        <f t="shared" si="1"/>
        <v>0</v>
      </c>
      <c r="BG10" s="31" t="str">
        <f t="shared" si="2"/>
        <v>⬜ Aucun</v>
      </c>
    </row>
    <row r="11" spans="1:59" ht="19.95" customHeight="1" x14ac:dyDescent="0.3">
      <c r="A11" s="17">
        <v>7</v>
      </c>
      <c r="B11" s="25"/>
      <c r="C11" s="25"/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9">
        <f t="shared" si="0"/>
        <v>0</v>
      </c>
      <c r="BF11" s="30">
        <f t="shared" si="1"/>
        <v>0</v>
      </c>
      <c r="BG11" s="31" t="str">
        <f t="shared" si="2"/>
        <v>⬜ Aucun</v>
      </c>
    </row>
    <row r="12" spans="1:59" ht="19.95" customHeight="1" x14ac:dyDescent="0.3">
      <c r="A12" s="17">
        <v>8</v>
      </c>
      <c r="B12" s="32"/>
      <c r="C12" s="32"/>
      <c r="D12" s="33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9">
        <f t="shared" si="0"/>
        <v>0</v>
      </c>
      <c r="BF12" s="34">
        <f t="shared" si="1"/>
        <v>0</v>
      </c>
      <c r="BG12" s="31" t="str">
        <f t="shared" si="2"/>
        <v>⬜ Aucun</v>
      </c>
    </row>
    <row r="13" spans="1:59" ht="19.95" customHeight="1" x14ac:dyDescent="0.3">
      <c r="A13" s="17">
        <v>9</v>
      </c>
      <c r="B13" s="25"/>
      <c r="C13" s="25"/>
      <c r="D13" s="26"/>
      <c r="E13" s="27"/>
      <c r="F13" s="27"/>
      <c r="G13" s="27"/>
      <c r="H13" s="27"/>
      <c r="I13" s="27"/>
      <c r="J13" s="27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9">
        <f t="shared" si="0"/>
        <v>0</v>
      </c>
      <c r="BF13" s="30">
        <f t="shared" si="1"/>
        <v>0</v>
      </c>
      <c r="BG13" s="31" t="str">
        <f t="shared" si="2"/>
        <v>⬜ Aucun</v>
      </c>
    </row>
    <row r="14" spans="1:59" ht="19.95" customHeight="1" x14ac:dyDescent="0.3">
      <c r="A14" s="17">
        <v>10</v>
      </c>
      <c r="B14" s="32"/>
      <c r="C14" s="32"/>
      <c r="D14" s="33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9">
        <f t="shared" si="0"/>
        <v>0</v>
      </c>
      <c r="BF14" s="34">
        <f t="shared" si="1"/>
        <v>0</v>
      </c>
      <c r="BG14" s="31" t="str">
        <f t="shared" si="2"/>
        <v>⬜ Aucun</v>
      </c>
    </row>
    <row r="15" spans="1:59" ht="19.95" customHeight="1" x14ac:dyDescent="0.3">
      <c r="A15" s="17">
        <v>11</v>
      </c>
      <c r="B15" s="25"/>
      <c r="C15" s="25"/>
      <c r="D15" s="26"/>
      <c r="E15" s="27"/>
      <c r="F15" s="27"/>
      <c r="G15" s="27"/>
      <c r="H15" s="27"/>
      <c r="I15" s="27"/>
      <c r="J15" s="2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9">
        <f t="shared" si="0"/>
        <v>0</v>
      </c>
      <c r="BF15" s="30">
        <f t="shared" si="1"/>
        <v>0</v>
      </c>
      <c r="BG15" s="31" t="str">
        <f t="shared" si="2"/>
        <v>⬜ Aucun</v>
      </c>
    </row>
    <row r="16" spans="1:59" ht="19.95" customHeight="1" x14ac:dyDescent="0.3">
      <c r="A16" s="17">
        <v>12</v>
      </c>
      <c r="B16" s="32"/>
      <c r="C16" s="32"/>
      <c r="D16" s="33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9">
        <f t="shared" si="0"/>
        <v>0</v>
      </c>
      <c r="BF16" s="34">
        <f t="shared" si="1"/>
        <v>0</v>
      </c>
      <c r="BG16" s="31" t="str">
        <f t="shared" si="2"/>
        <v>⬜ Aucun</v>
      </c>
    </row>
    <row r="17" spans="1:59" ht="19.95" customHeight="1" x14ac:dyDescent="0.3">
      <c r="A17" s="17">
        <v>13</v>
      </c>
      <c r="B17" s="25"/>
      <c r="C17" s="25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9">
        <f t="shared" si="0"/>
        <v>0</v>
      </c>
      <c r="BF17" s="30">
        <f t="shared" si="1"/>
        <v>0</v>
      </c>
      <c r="BG17" s="31" t="str">
        <f t="shared" si="2"/>
        <v>⬜ Aucun</v>
      </c>
    </row>
    <row r="18" spans="1:59" ht="19.95" customHeight="1" x14ac:dyDescent="0.3">
      <c r="A18" s="17">
        <v>14</v>
      </c>
      <c r="B18" s="32"/>
      <c r="C18" s="32"/>
      <c r="D18" s="33"/>
      <c r="E18" s="27"/>
      <c r="F18" s="27"/>
      <c r="G18" s="27"/>
      <c r="H18" s="27"/>
      <c r="I18" s="27"/>
      <c r="J18" s="27"/>
      <c r="K18" s="27"/>
      <c r="L18" s="27"/>
      <c r="M18" s="28"/>
      <c r="N18" s="28"/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9">
        <f t="shared" si="0"/>
        <v>0</v>
      </c>
      <c r="BF18" s="34">
        <f t="shared" si="1"/>
        <v>0</v>
      </c>
      <c r="BG18" s="31" t="str">
        <f t="shared" si="2"/>
        <v>⬜ Aucun</v>
      </c>
    </row>
    <row r="19" spans="1:59" ht="19.95" customHeight="1" x14ac:dyDescent="0.3">
      <c r="A19" s="17">
        <v>15</v>
      </c>
      <c r="B19" s="25"/>
      <c r="C19" s="25"/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9">
        <f t="shared" si="0"/>
        <v>0</v>
      </c>
      <c r="BF19" s="30">
        <f t="shared" si="1"/>
        <v>0</v>
      </c>
      <c r="BG19" s="31" t="str">
        <f t="shared" si="2"/>
        <v>⬜ Aucun</v>
      </c>
    </row>
    <row r="20" spans="1:59" ht="19.95" customHeight="1" x14ac:dyDescent="0.3">
      <c r="A20" s="17">
        <v>16</v>
      </c>
      <c r="B20" s="32"/>
      <c r="C20" s="32"/>
      <c r="D20" s="33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9">
        <f t="shared" si="0"/>
        <v>0</v>
      </c>
      <c r="BF20" s="34">
        <f t="shared" si="1"/>
        <v>0</v>
      </c>
      <c r="BG20" s="31" t="str">
        <f t="shared" si="2"/>
        <v>⬜ Aucun</v>
      </c>
    </row>
    <row r="21" spans="1:59" ht="19.95" customHeight="1" x14ac:dyDescent="0.3">
      <c r="A21" s="17">
        <v>17</v>
      </c>
      <c r="B21" s="25"/>
      <c r="C21" s="25"/>
      <c r="D21" s="26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9">
        <f t="shared" si="0"/>
        <v>0</v>
      </c>
      <c r="BF21" s="30">
        <f t="shared" si="1"/>
        <v>0</v>
      </c>
      <c r="BG21" s="31" t="str">
        <f t="shared" si="2"/>
        <v>⬜ Aucun</v>
      </c>
    </row>
    <row r="22" spans="1:59" ht="19.95" customHeight="1" x14ac:dyDescent="0.3">
      <c r="A22" s="17">
        <v>18</v>
      </c>
      <c r="B22" s="32"/>
      <c r="C22" s="32"/>
      <c r="D22" s="33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9">
        <f t="shared" si="0"/>
        <v>0</v>
      </c>
      <c r="BF22" s="34">
        <f t="shared" si="1"/>
        <v>0</v>
      </c>
      <c r="BG22" s="31" t="str">
        <f t="shared" si="2"/>
        <v>⬜ Aucun</v>
      </c>
    </row>
    <row r="23" spans="1:59" ht="19.95" customHeight="1" x14ac:dyDescent="0.3">
      <c r="A23" s="17">
        <v>19</v>
      </c>
      <c r="B23" s="25"/>
      <c r="C23" s="25"/>
      <c r="D23" s="26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9">
        <f t="shared" si="0"/>
        <v>0</v>
      </c>
      <c r="BF23" s="30">
        <f t="shared" si="1"/>
        <v>0</v>
      </c>
      <c r="BG23" s="31" t="str">
        <f t="shared" si="2"/>
        <v>⬜ Aucun</v>
      </c>
    </row>
    <row r="24" spans="1:59" ht="19.95" customHeight="1" x14ac:dyDescent="0.3">
      <c r="A24" s="17">
        <v>20</v>
      </c>
      <c r="B24" s="32"/>
      <c r="C24" s="32"/>
      <c r="D24" s="33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9">
        <f t="shared" si="0"/>
        <v>0</v>
      </c>
      <c r="BF24" s="34">
        <f t="shared" si="1"/>
        <v>0</v>
      </c>
      <c r="BG24" s="31" t="str">
        <f t="shared" si="2"/>
        <v>⬜ Aucun</v>
      </c>
    </row>
    <row r="25" spans="1:59" ht="19.95" customHeight="1" x14ac:dyDescent="0.3">
      <c r="A25" s="17">
        <v>21</v>
      </c>
      <c r="B25" s="25"/>
      <c r="C25" s="25"/>
      <c r="D25" s="26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9">
        <f t="shared" si="0"/>
        <v>0</v>
      </c>
      <c r="BF25" s="30">
        <f t="shared" si="1"/>
        <v>0</v>
      </c>
      <c r="BG25" s="31" t="str">
        <f t="shared" si="2"/>
        <v>⬜ Aucun</v>
      </c>
    </row>
    <row r="26" spans="1:59" ht="19.95" customHeight="1" x14ac:dyDescent="0.3">
      <c r="A26" s="17">
        <v>22</v>
      </c>
      <c r="B26" s="32"/>
      <c r="C26" s="32"/>
      <c r="D26" s="33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9">
        <f t="shared" si="0"/>
        <v>0</v>
      </c>
      <c r="BF26" s="34">
        <f t="shared" si="1"/>
        <v>0</v>
      </c>
      <c r="BG26" s="31" t="str">
        <f t="shared" si="2"/>
        <v>⬜ Aucun</v>
      </c>
    </row>
    <row r="27" spans="1:59" ht="19.95" customHeight="1" x14ac:dyDescent="0.3">
      <c r="A27" s="17">
        <v>23</v>
      </c>
      <c r="B27" s="25"/>
      <c r="C27" s="25"/>
      <c r="D27" s="26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9">
        <f t="shared" si="0"/>
        <v>0</v>
      </c>
      <c r="BF27" s="30">
        <f t="shared" si="1"/>
        <v>0</v>
      </c>
      <c r="BG27" s="31" t="str">
        <f t="shared" si="2"/>
        <v>⬜ Aucun</v>
      </c>
    </row>
    <row r="28" spans="1:59" ht="28.05" customHeight="1" x14ac:dyDescent="0.3">
      <c r="A28" s="120" t="s">
        <v>71</v>
      </c>
      <c r="B28" s="105"/>
      <c r="C28" s="105"/>
      <c r="D28" s="35"/>
      <c r="E28" s="36">
        <f t="shared" ref="E28:AJ28" si="3">SUM(E5:E27)</f>
        <v>0</v>
      </c>
      <c r="F28" s="36">
        <f t="shared" si="3"/>
        <v>0</v>
      </c>
      <c r="G28" s="36">
        <f t="shared" si="3"/>
        <v>0</v>
      </c>
      <c r="H28" s="36"/>
      <c r="I28" s="36">
        <f t="shared" si="3"/>
        <v>0</v>
      </c>
      <c r="J28" s="36">
        <f t="shared" si="3"/>
        <v>0</v>
      </c>
      <c r="K28" s="36">
        <f t="shared" si="3"/>
        <v>0</v>
      </c>
      <c r="L28" s="36">
        <f t="shared" si="3"/>
        <v>0</v>
      </c>
      <c r="M28" s="36">
        <f t="shared" si="3"/>
        <v>0</v>
      </c>
      <c r="N28" s="36">
        <f t="shared" si="3"/>
        <v>0</v>
      </c>
      <c r="O28" s="36">
        <f t="shared" si="3"/>
        <v>0</v>
      </c>
      <c r="P28" s="36">
        <f t="shared" si="3"/>
        <v>0</v>
      </c>
      <c r="Q28" s="36">
        <f t="shared" si="3"/>
        <v>0</v>
      </c>
      <c r="R28" s="36">
        <f t="shared" si="3"/>
        <v>0</v>
      </c>
      <c r="S28" s="36">
        <f t="shared" si="3"/>
        <v>0</v>
      </c>
      <c r="T28" s="36">
        <f t="shared" si="3"/>
        <v>0</v>
      </c>
      <c r="U28" s="36">
        <f t="shared" si="3"/>
        <v>0</v>
      </c>
      <c r="V28" s="36">
        <f t="shared" si="3"/>
        <v>0</v>
      </c>
      <c r="W28" s="36">
        <f t="shared" si="3"/>
        <v>0</v>
      </c>
      <c r="X28" s="36">
        <f t="shared" si="3"/>
        <v>0</v>
      </c>
      <c r="Y28" s="36">
        <f t="shared" si="3"/>
        <v>0</v>
      </c>
      <c r="Z28" s="36">
        <f t="shared" si="3"/>
        <v>0</v>
      </c>
      <c r="AA28" s="36">
        <f t="shared" si="3"/>
        <v>0</v>
      </c>
      <c r="AB28" s="36">
        <f t="shared" si="3"/>
        <v>0</v>
      </c>
      <c r="AC28" s="36">
        <f t="shared" si="3"/>
        <v>0</v>
      </c>
      <c r="AD28" s="36">
        <f t="shared" si="3"/>
        <v>0</v>
      </c>
      <c r="AE28" s="36">
        <f t="shared" si="3"/>
        <v>0</v>
      </c>
      <c r="AF28" s="36">
        <f t="shared" si="3"/>
        <v>0</v>
      </c>
      <c r="AG28" s="36">
        <f t="shared" si="3"/>
        <v>0</v>
      </c>
      <c r="AH28" s="36">
        <f t="shared" si="3"/>
        <v>0</v>
      </c>
      <c r="AI28" s="36">
        <f t="shared" si="3"/>
        <v>0</v>
      </c>
      <c r="AJ28" s="36">
        <f t="shared" si="3"/>
        <v>0</v>
      </c>
      <c r="AK28" s="36">
        <f t="shared" ref="AK28:BE28" si="4">SUM(AK5:AK27)</f>
        <v>0</v>
      </c>
      <c r="AL28" s="36">
        <f t="shared" si="4"/>
        <v>0</v>
      </c>
      <c r="AM28" s="36">
        <f t="shared" si="4"/>
        <v>0</v>
      </c>
      <c r="AN28" s="36">
        <f t="shared" si="4"/>
        <v>0</v>
      </c>
      <c r="AO28" s="36">
        <f t="shared" si="4"/>
        <v>0</v>
      </c>
      <c r="AP28" s="36">
        <f t="shared" si="4"/>
        <v>0</v>
      </c>
      <c r="AQ28" s="36">
        <f t="shared" si="4"/>
        <v>0</v>
      </c>
      <c r="AR28" s="36">
        <f t="shared" si="4"/>
        <v>0</v>
      </c>
      <c r="AS28" s="36">
        <f t="shared" si="4"/>
        <v>0</v>
      </c>
      <c r="AT28" s="36">
        <f t="shared" si="4"/>
        <v>0</v>
      </c>
      <c r="AU28" s="36"/>
      <c r="AV28" s="36">
        <f t="shared" si="4"/>
        <v>0</v>
      </c>
      <c r="AW28" s="36">
        <f t="shared" si="4"/>
        <v>0</v>
      </c>
      <c r="AX28" s="36">
        <f t="shared" si="4"/>
        <v>0</v>
      </c>
      <c r="AY28" s="36">
        <f t="shared" si="4"/>
        <v>0</v>
      </c>
      <c r="AZ28" s="36">
        <f t="shared" si="4"/>
        <v>0</v>
      </c>
      <c r="BA28" s="36">
        <f t="shared" si="4"/>
        <v>0</v>
      </c>
      <c r="BB28" s="36">
        <f t="shared" si="4"/>
        <v>0</v>
      </c>
      <c r="BC28" s="36">
        <f t="shared" si="4"/>
        <v>0</v>
      </c>
      <c r="BD28" s="36">
        <f t="shared" si="4"/>
        <v>0</v>
      </c>
      <c r="BE28" s="37">
        <f t="shared" si="4"/>
        <v>0</v>
      </c>
      <c r="BF28" s="35"/>
      <c r="BG28" s="35"/>
    </row>
  </sheetData>
  <mergeCells count="15">
    <mergeCell ref="A1:BG1"/>
    <mergeCell ref="A28:C28"/>
    <mergeCell ref="E3:I3"/>
    <mergeCell ref="J3:M3"/>
    <mergeCell ref="A2:BG2"/>
    <mergeCell ref="AA3:AD3"/>
    <mergeCell ref="AE3:AH3"/>
    <mergeCell ref="BA3:BD3"/>
    <mergeCell ref="AN3:AQ3"/>
    <mergeCell ref="N3:Q3"/>
    <mergeCell ref="R3:U3"/>
    <mergeCell ref="V3:Z3"/>
    <mergeCell ref="AR3:AV3"/>
    <mergeCell ref="AI3:AM3"/>
    <mergeCell ref="AW3:AZ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2D91"/>
  </sheetPr>
  <dimension ref="A1:L35"/>
  <sheetViews>
    <sheetView showGridLines="0" workbookViewId="0">
      <pane ySplit="4" topLeftCell="A16" activePane="bottomLeft" state="frozen"/>
      <selection pane="bottomLeft" activeCell="L17" sqref="L17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20" customWidth="1"/>
    <col min="4" max="4" width="12" customWidth="1"/>
    <col min="5" max="5" width="14" customWidth="1"/>
    <col min="6" max="6" width="12" customWidth="1"/>
    <col min="7" max="7" width="14" customWidth="1"/>
    <col min="8" max="8" width="19.44140625" customWidth="1"/>
    <col min="9" max="10" width="14" customWidth="1"/>
    <col min="11" max="11" width="18" customWidth="1"/>
    <col min="12" max="12" width="12" customWidth="1"/>
  </cols>
  <sheetData>
    <row r="1" spans="1:12" ht="40.049999999999997" customHeight="1" x14ac:dyDescent="0.3">
      <c r="A1" s="126" t="s">
        <v>163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19.95" customHeight="1" x14ac:dyDescent="0.3">
      <c r="A2" s="124" t="s">
        <v>72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ht="25.05" customHeight="1" x14ac:dyDescent="0.3">
      <c r="A3" s="128" t="s">
        <v>73</v>
      </c>
      <c r="B3" s="105"/>
      <c r="C3" s="105"/>
      <c r="D3" s="105"/>
      <c r="E3" s="105"/>
      <c r="F3" s="105"/>
      <c r="G3" s="127">
        <f>'⚙️ PARAMÈTRES'!B4</f>
        <v>0.12</v>
      </c>
      <c r="H3" s="105"/>
      <c r="I3" s="105"/>
      <c r="J3" s="105"/>
      <c r="K3" s="105"/>
      <c r="L3" s="105"/>
    </row>
    <row r="4" spans="1:12" ht="30" customHeight="1" x14ac:dyDescent="0.3">
      <c r="A4" s="38" t="s">
        <v>41</v>
      </c>
      <c r="B4" s="38" t="s">
        <v>74</v>
      </c>
      <c r="C4" s="38" t="s">
        <v>42</v>
      </c>
      <c r="D4" s="38" t="s">
        <v>43</v>
      </c>
      <c r="E4" s="38" t="s">
        <v>75</v>
      </c>
      <c r="F4" s="38" t="s">
        <v>76</v>
      </c>
      <c r="G4" s="38" t="s">
        <v>77</v>
      </c>
      <c r="H4" s="38" t="s">
        <v>78</v>
      </c>
      <c r="I4" s="38" t="s">
        <v>79</v>
      </c>
      <c r="J4" s="38" t="s">
        <v>80</v>
      </c>
      <c r="K4" s="38" t="s">
        <v>81</v>
      </c>
      <c r="L4" s="38" t="s">
        <v>50</v>
      </c>
    </row>
    <row r="5" spans="1:12" ht="22.05" customHeight="1" x14ac:dyDescent="0.3">
      <c r="A5" s="17">
        <v>1</v>
      </c>
      <c r="B5" s="34"/>
      <c r="C5" s="32"/>
      <c r="D5" s="32"/>
      <c r="E5" s="34"/>
      <c r="F5" s="39"/>
      <c r="G5" s="39"/>
      <c r="H5" s="32"/>
      <c r="I5" s="34"/>
      <c r="J5" s="40"/>
      <c r="K5" s="41"/>
      <c r="L5" s="42" t="s">
        <v>82</v>
      </c>
    </row>
    <row r="6" spans="1:12" ht="22.05" customHeight="1" x14ac:dyDescent="0.3">
      <c r="A6" s="17">
        <v>2</v>
      </c>
      <c r="B6" s="43"/>
      <c r="C6" s="44"/>
      <c r="D6" s="44"/>
      <c r="E6" s="43"/>
      <c r="F6" s="45"/>
      <c r="G6" s="45"/>
      <c r="H6" s="44"/>
      <c r="I6" s="43"/>
      <c r="J6" s="46"/>
      <c r="K6" s="47"/>
      <c r="L6" s="42" t="s">
        <v>82</v>
      </c>
    </row>
    <row r="7" spans="1:12" ht="22.05" customHeight="1" x14ac:dyDescent="0.3">
      <c r="A7" s="17">
        <v>3</v>
      </c>
      <c r="B7" s="34"/>
      <c r="C7" s="32"/>
      <c r="D7" s="32"/>
      <c r="E7" s="34"/>
      <c r="F7" s="39"/>
      <c r="G7" s="39"/>
      <c r="H7" s="32"/>
      <c r="I7" s="34"/>
      <c r="J7" s="40"/>
      <c r="K7" s="41"/>
      <c r="L7" s="42" t="s">
        <v>82</v>
      </c>
    </row>
    <row r="8" spans="1:12" ht="22.05" customHeight="1" x14ac:dyDescent="0.3">
      <c r="A8" s="17">
        <v>4</v>
      </c>
      <c r="B8" s="43"/>
      <c r="C8" s="44"/>
      <c r="D8" s="44"/>
      <c r="E8" s="43"/>
      <c r="F8" s="45"/>
      <c r="G8" s="45"/>
      <c r="H8" s="44"/>
      <c r="I8" s="43"/>
      <c r="J8" s="46"/>
      <c r="K8" s="47"/>
      <c r="L8" s="42" t="s">
        <v>82</v>
      </c>
    </row>
    <row r="9" spans="1:12" ht="22.05" customHeight="1" x14ac:dyDescent="0.3">
      <c r="A9" s="17">
        <v>5</v>
      </c>
      <c r="B9" s="34"/>
      <c r="C9" s="32"/>
      <c r="D9" s="32"/>
      <c r="E9" s="34"/>
      <c r="F9" s="39"/>
      <c r="G9" s="39"/>
      <c r="H9" s="32"/>
      <c r="I9" s="34"/>
      <c r="J9" s="40"/>
      <c r="K9" s="41"/>
      <c r="L9" s="42" t="s">
        <v>82</v>
      </c>
    </row>
    <row r="10" spans="1:12" ht="19.95" customHeight="1" x14ac:dyDescent="0.3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51"/>
      <c r="L10" s="49"/>
    </row>
    <row r="11" spans="1:12" ht="19.95" customHeight="1" x14ac:dyDescent="0.3">
      <c r="A11" s="48"/>
      <c r="B11" s="52"/>
      <c r="C11" s="52"/>
      <c r="D11" s="52"/>
      <c r="E11" s="52"/>
      <c r="F11" s="52"/>
      <c r="G11" s="52"/>
      <c r="H11" s="52"/>
      <c r="I11" s="52"/>
      <c r="J11" s="53"/>
      <c r="K11" s="54"/>
      <c r="L11" s="52"/>
    </row>
    <row r="12" spans="1:12" ht="19.95" customHeight="1" x14ac:dyDescent="0.3">
      <c r="A12" s="48"/>
      <c r="B12" s="49"/>
      <c r="C12" s="49"/>
      <c r="D12" s="49"/>
      <c r="E12" s="49"/>
      <c r="F12" s="49"/>
      <c r="G12" s="49"/>
      <c r="H12" s="49"/>
      <c r="I12" s="49"/>
      <c r="J12" s="50"/>
      <c r="K12" s="51"/>
      <c r="L12" s="49"/>
    </row>
    <row r="13" spans="1:12" ht="19.95" customHeight="1" x14ac:dyDescent="0.3">
      <c r="A13" s="48"/>
      <c r="B13" s="52"/>
      <c r="C13" s="52"/>
      <c r="D13" s="52"/>
      <c r="E13" s="52"/>
      <c r="F13" s="52"/>
      <c r="G13" s="52"/>
      <c r="H13" s="52"/>
      <c r="I13" s="52"/>
      <c r="J13" s="53" t="str">
        <f>IF(F13="","",F13*'⚙️ PARAMÈTRES'!$B$4)</f>
        <v/>
      </c>
      <c r="K13" s="54" t="str">
        <f t="shared" ref="K13:K34" si="0">IF(F13="","",F13+G13+J13)</f>
        <v/>
      </c>
      <c r="L13" s="52"/>
    </row>
    <row r="14" spans="1:12" ht="19.95" customHeight="1" x14ac:dyDescent="0.3">
      <c r="A14" s="48"/>
      <c r="B14" s="49"/>
      <c r="C14" s="49"/>
      <c r="D14" s="49"/>
      <c r="E14" s="49"/>
      <c r="F14" s="49"/>
      <c r="G14" s="49"/>
      <c r="H14" s="49"/>
      <c r="I14" s="49"/>
      <c r="J14" s="50" t="str">
        <f>IF(F14="","",F14*'⚙️ PARAMÈTRES'!$B$4)</f>
        <v/>
      </c>
      <c r="K14" s="51" t="str">
        <f t="shared" si="0"/>
        <v/>
      </c>
      <c r="L14" s="49"/>
    </row>
    <row r="15" spans="1:12" ht="19.95" customHeight="1" x14ac:dyDescent="0.3">
      <c r="A15" s="48"/>
      <c r="B15" s="52"/>
      <c r="C15" s="52"/>
      <c r="D15" s="52"/>
      <c r="E15" s="52"/>
      <c r="F15" s="52"/>
      <c r="G15" s="52"/>
      <c r="H15" s="52"/>
      <c r="I15" s="52"/>
      <c r="J15" s="53" t="str">
        <f>IF(F15="","",F15*'⚙️ PARAMÈTRES'!$B$4)</f>
        <v/>
      </c>
      <c r="K15" s="54" t="str">
        <f t="shared" si="0"/>
        <v/>
      </c>
      <c r="L15" s="52"/>
    </row>
    <row r="16" spans="1:12" ht="19.95" customHeight="1" x14ac:dyDescent="0.3">
      <c r="A16" s="48"/>
      <c r="B16" s="49"/>
      <c r="C16" s="49"/>
      <c r="D16" s="49"/>
      <c r="E16" s="49"/>
      <c r="F16" s="49"/>
      <c r="G16" s="49"/>
      <c r="H16" s="49"/>
      <c r="I16" s="49"/>
      <c r="J16" s="50" t="str">
        <f>IF(F16="","",F16*'⚙️ PARAMÈTRES'!$B$4)</f>
        <v/>
      </c>
      <c r="K16" s="51" t="str">
        <f>IF(F16="","",F16+G16+J16)</f>
        <v/>
      </c>
      <c r="L16" s="49"/>
    </row>
    <row r="17" spans="1:12" ht="19.95" customHeight="1" x14ac:dyDescent="0.3">
      <c r="A17" s="48"/>
      <c r="B17" s="52"/>
      <c r="C17" s="52"/>
      <c r="D17" s="52"/>
      <c r="E17" s="52"/>
      <c r="F17" s="52"/>
      <c r="G17" s="52"/>
      <c r="H17" s="52"/>
      <c r="I17" s="52"/>
      <c r="J17" s="53" t="str">
        <f>IF(F17="","",F17*'⚙️ PARAMÈTRES'!$B$4)</f>
        <v/>
      </c>
      <c r="K17" s="54" t="str">
        <f t="shared" si="0"/>
        <v/>
      </c>
      <c r="L17" s="52"/>
    </row>
    <row r="18" spans="1:12" ht="19.95" customHeight="1" x14ac:dyDescent="0.3">
      <c r="A18" s="48"/>
      <c r="B18" s="49"/>
      <c r="C18" s="49"/>
      <c r="D18" s="49"/>
      <c r="E18" s="49"/>
      <c r="F18" s="49"/>
      <c r="G18" s="49"/>
      <c r="H18" s="49"/>
      <c r="I18" s="49"/>
      <c r="J18" s="50" t="str">
        <f>IF(F18="","",F18*'⚙️ PARAMÈTRES'!$B$4)</f>
        <v/>
      </c>
      <c r="K18" s="51" t="str">
        <f t="shared" si="0"/>
        <v/>
      </c>
      <c r="L18" s="49"/>
    </row>
    <row r="19" spans="1:12" ht="19.95" customHeight="1" x14ac:dyDescent="0.3">
      <c r="A19" s="48"/>
      <c r="B19" s="52"/>
      <c r="C19" s="52"/>
      <c r="D19" s="52"/>
      <c r="E19" s="52"/>
      <c r="F19" s="52"/>
      <c r="G19" s="52"/>
      <c r="H19" s="52"/>
      <c r="I19" s="52"/>
      <c r="J19" s="53" t="str">
        <f>IF(F19="","",F19*'⚙️ PARAMÈTRES'!$B$4)</f>
        <v/>
      </c>
      <c r="K19" s="54" t="str">
        <f t="shared" si="0"/>
        <v/>
      </c>
      <c r="L19" s="52"/>
    </row>
    <row r="20" spans="1:12" ht="19.95" customHeight="1" x14ac:dyDescent="0.3">
      <c r="A20" s="48"/>
      <c r="B20" s="49"/>
      <c r="C20" s="49"/>
      <c r="D20" s="49"/>
      <c r="E20" s="49"/>
      <c r="F20" s="49"/>
      <c r="G20" s="49"/>
      <c r="H20" s="49"/>
      <c r="I20" s="49"/>
      <c r="J20" s="50" t="str">
        <f>IF(F20="","",F20*'⚙️ PARAMÈTRES'!$B$4)</f>
        <v/>
      </c>
      <c r="K20" s="51" t="str">
        <f t="shared" si="0"/>
        <v/>
      </c>
      <c r="L20" s="49"/>
    </row>
    <row r="21" spans="1:12" ht="19.95" customHeight="1" x14ac:dyDescent="0.3">
      <c r="A21" s="48"/>
      <c r="B21" s="52"/>
      <c r="C21" s="52"/>
      <c r="D21" s="52"/>
      <c r="E21" s="52"/>
      <c r="F21" s="52"/>
      <c r="G21" s="52"/>
      <c r="H21" s="52"/>
      <c r="I21" s="52"/>
      <c r="J21" s="53" t="str">
        <f>IF(F21="","",F21*'⚙️ PARAMÈTRES'!$B$4)</f>
        <v/>
      </c>
      <c r="K21" s="54" t="str">
        <f t="shared" si="0"/>
        <v/>
      </c>
      <c r="L21" s="52"/>
    </row>
    <row r="22" spans="1:12" ht="19.95" customHeight="1" x14ac:dyDescent="0.3">
      <c r="A22" s="48"/>
      <c r="B22" s="49"/>
      <c r="C22" s="49"/>
      <c r="D22" s="49"/>
      <c r="E22" s="49"/>
      <c r="F22" s="49"/>
      <c r="G22" s="49"/>
      <c r="H22" s="49"/>
      <c r="I22" s="49"/>
      <c r="J22" s="50" t="str">
        <f>IF(F22="","",F22*'⚙️ PARAMÈTRES'!$B$4)</f>
        <v/>
      </c>
      <c r="K22" s="51" t="str">
        <f t="shared" si="0"/>
        <v/>
      </c>
      <c r="L22" s="49"/>
    </row>
    <row r="23" spans="1:12" ht="19.95" customHeight="1" x14ac:dyDescent="0.3">
      <c r="A23" s="48"/>
      <c r="B23" s="52"/>
      <c r="C23" s="52"/>
      <c r="D23" s="52"/>
      <c r="E23" s="52"/>
      <c r="F23" s="52"/>
      <c r="G23" s="52"/>
      <c r="H23" s="52"/>
      <c r="I23" s="52"/>
      <c r="J23" s="53" t="str">
        <f>IF(F23="","",F23*'⚙️ PARAMÈTRES'!$B$4)</f>
        <v/>
      </c>
      <c r="K23" s="54" t="str">
        <f t="shared" si="0"/>
        <v/>
      </c>
      <c r="L23" s="52"/>
    </row>
    <row r="24" spans="1:12" ht="19.95" customHeight="1" x14ac:dyDescent="0.3">
      <c r="A24" s="48"/>
      <c r="B24" s="49"/>
      <c r="C24" s="49"/>
      <c r="D24" s="49"/>
      <c r="E24" s="49"/>
      <c r="F24" s="49"/>
      <c r="G24" s="49"/>
      <c r="H24" s="49"/>
      <c r="I24" s="49"/>
      <c r="J24" s="50" t="str">
        <f>IF(F24="","",F24*'⚙️ PARAMÈTRES'!$B$4)</f>
        <v/>
      </c>
      <c r="K24" s="51" t="str">
        <f t="shared" si="0"/>
        <v/>
      </c>
      <c r="L24" s="49"/>
    </row>
    <row r="25" spans="1:12" ht="19.95" customHeight="1" x14ac:dyDescent="0.3">
      <c r="A25" s="48"/>
      <c r="B25" s="52"/>
      <c r="C25" s="52"/>
      <c r="D25" s="52"/>
      <c r="E25" s="52"/>
      <c r="F25" s="52"/>
      <c r="G25" s="52"/>
      <c r="H25" s="52"/>
      <c r="I25" s="52"/>
      <c r="J25" s="53" t="str">
        <f>IF(F25="","",F25*'⚙️ PARAMÈTRES'!$B$4)</f>
        <v/>
      </c>
      <c r="K25" s="54" t="str">
        <f t="shared" si="0"/>
        <v/>
      </c>
      <c r="L25" s="52"/>
    </row>
    <row r="26" spans="1:12" ht="19.95" customHeight="1" x14ac:dyDescent="0.3">
      <c r="A26" s="48"/>
      <c r="B26" s="49"/>
      <c r="C26" s="49"/>
      <c r="D26" s="49"/>
      <c r="E26" s="49"/>
      <c r="F26" s="49"/>
      <c r="G26" s="49"/>
      <c r="H26" s="49"/>
      <c r="I26" s="49"/>
      <c r="J26" s="50" t="str">
        <f>IF(F26="","",F26*'⚙️ PARAMÈTRES'!$B$4)</f>
        <v/>
      </c>
      <c r="K26" s="51" t="str">
        <f t="shared" si="0"/>
        <v/>
      </c>
      <c r="L26" s="49"/>
    </row>
    <row r="27" spans="1:12" ht="19.95" customHeight="1" x14ac:dyDescent="0.3">
      <c r="A27" s="48"/>
      <c r="B27" s="52"/>
      <c r="C27" s="52"/>
      <c r="D27" s="52"/>
      <c r="E27" s="52"/>
      <c r="F27" s="52"/>
      <c r="G27" s="52"/>
      <c r="H27" s="52"/>
      <c r="I27" s="52"/>
      <c r="J27" s="53" t="str">
        <f>IF(F27="","",F27*'⚙️ PARAMÈTRES'!$B$4)</f>
        <v/>
      </c>
      <c r="K27" s="54" t="str">
        <f t="shared" si="0"/>
        <v/>
      </c>
      <c r="L27" s="52"/>
    </row>
    <row r="28" spans="1:12" ht="19.95" customHeight="1" x14ac:dyDescent="0.3">
      <c r="A28" s="48"/>
      <c r="B28" s="49"/>
      <c r="C28" s="49"/>
      <c r="D28" s="49"/>
      <c r="E28" s="49"/>
      <c r="F28" s="49"/>
      <c r="G28" s="49"/>
      <c r="H28" s="49"/>
      <c r="I28" s="49"/>
      <c r="J28" s="50" t="str">
        <f>IF(F28="","",F28*'⚙️ PARAMÈTRES'!$B$4)</f>
        <v/>
      </c>
      <c r="K28" s="51" t="str">
        <f t="shared" si="0"/>
        <v/>
      </c>
      <c r="L28" s="49"/>
    </row>
    <row r="29" spans="1:12" ht="19.95" customHeight="1" x14ac:dyDescent="0.3">
      <c r="A29" s="48"/>
      <c r="B29" s="52"/>
      <c r="C29" s="52"/>
      <c r="D29" s="52"/>
      <c r="E29" s="52"/>
      <c r="F29" s="52"/>
      <c r="G29" s="52"/>
      <c r="H29" s="52"/>
      <c r="I29" s="52"/>
      <c r="J29" s="53" t="str">
        <f>IF(F29="","",F29*'⚙️ PARAMÈTRES'!$B$4)</f>
        <v/>
      </c>
      <c r="K29" s="54" t="str">
        <f t="shared" si="0"/>
        <v/>
      </c>
      <c r="L29" s="52"/>
    </row>
    <row r="30" spans="1:12" ht="19.95" customHeight="1" x14ac:dyDescent="0.3">
      <c r="A30" s="48"/>
      <c r="B30" s="49"/>
      <c r="C30" s="49"/>
      <c r="D30" s="49"/>
      <c r="E30" s="49"/>
      <c r="F30" s="49"/>
      <c r="G30" s="49"/>
      <c r="H30" s="49"/>
      <c r="I30" s="49"/>
      <c r="J30" s="50" t="str">
        <f>IF(F30="","",F30*'⚙️ PARAMÈTRES'!$B$4)</f>
        <v/>
      </c>
      <c r="K30" s="51" t="str">
        <f t="shared" si="0"/>
        <v/>
      </c>
      <c r="L30" s="49"/>
    </row>
    <row r="31" spans="1:12" ht="19.95" customHeight="1" x14ac:dyDescent="0.3">
      <c r="A31" s="48"/>
      <c r="B31" s="52"/>
      <c r="C31" s="52"/>
      <c r="D31" s="52"/>
      <c r="E31" s="52"/>
      <c r="F31" s="52"/>
      <c r="G31" s="52"/>
      <c r="H31" s="52"/>
      <c r="I31" s="52"/>
      <c r="J31" s="53" t="str">
        <f>IF(F31="","",F31*'⚙️ PARAMÈTRES'!$B$4)</f>
        <v/>
      </c>
      <c r="K31" s="54" t="str">
        <f t="shared" si="0"/>
        <v/>
      </c>
      <c r="L31" s="52"/>
    </row>
    <row r="32" spans="1:12" ht="19.95" customHeight="1" x14ac:dyDescent="0.3">
      <c r="A32" s="48"/>
      <c r="B32" s="49"/>
      <c r="C32" s="49"/>
      <c r="D32" s="49"/>
      <c r="E32" s="49"/>
      <c r="F32" s="49"/>
      <c r="G32" s="49"/>
      <c r="H32" s="49"/>
      <c r="I32" s="49"/>
      <c r="J32" s="50" t="str">
        <f>IF(F32="","",F32*'⚙️ PARAMÈTRES'!$B$4)</f>
        <v/>
      </c>
      <c r="K32" s="51" t="str">
        <f t="shared" si="0"/>
        <v/>
      </c>
      <c r="L32" s="49"/>
    </row>
    <row r="33" spans="1:12" ht="19.95" customHeight="1" x14ac:dyDescent="0.3">
      <c r="A33" s="48"/>
      <c r="B33" s="52"/>
      <c r="C33" s="52"/>
      <c r="D33" s="52"/>
      <c r="E33" s="52"/>
      <c r="F33" s="52"/>
      <c r="G33" s="52"/>
      <c r="H33" s="52"/>
      <c r="I33" s="52"/>
      <c r="J33" s="53" t="str">
        <f>IF(F33="","",F33*'⚙️ PARAMÈTRES'!$B$4)</f>
        <v/>
      </c>
      <c r="K33" s="54" t="str">
        <f t="shared" si="0"/>
        <v/>
      </c>
      <c r="L33" s="52"/>
    </row>
    <row r="34" spans="1:12" ht="19.95" customHeight="1" x14ac:dyDescent="0.3">
      <c r="A34" s="48"/>
      <c r="B34" s="49"/>
      <c r="C34" s="49"/>
      <c r="D34" s="49"/>
      <c r="E34" s="49"/>
      <c r="F34" s="49"/>
      <c r="G34" s="49"/>
      <c r="H34" s="49"/>
      <c r="I34" s="49"/>
      <c r="J34" s="50" t="str">
        <f>IF(F34="","",F34*'⚙️ PARAMÈTRES'!$B$4)</f>
        <v/>
      </c>
      <c r="K34" s="51" t="str">
        <f t="shared" si="0"/>
        <v/>
      </c>
      <c r="L34" s="49"/>
    </row>
    <row r="35" spans="1:12" ht="28.05" customHeight="1" x14ac:dyDescent="0.3">
      <c r="A35" s="125" t="s">
        <v>83</v>
      </c>
      <c r="B35" s="105"/>
      <c r="C35" s="105"/>
      <c r="D35" s="105"/>
      <c r="E35" s="105"/>
      <c r="F35" s="55">
        <f>SUM(F5:F34)</f>
        <v>0</v>
      </c>
      <c r="G35" s="55">
        <f>SUM(G5:G34)</f>
        <v>0</v>
      </c>
      <c r="J35" s="55">
        <f>SUM(J5:J34)</f>
        <v>0</v>
      </c>
      <c r="K35" s="55">
        <f>SUM(K5:K34)</f>
        <v>0</v>
      </c>
    </row>
  </sheetData>
  <mergeCells count="5">
    <mergeCell ref="A2:L2"/>
    <mergeCell ref="A35:E35"/>
    <mergeCell ref="A1:L1"/>
    <mergeCell ref="G3:L3"/>
    <mergeCell ref="A3:F3"/>
  </mergeCells>
  <dataValidations count="1">
    <dataValidation type="list" allowBlank="1" sqref="L5:L100" xr:uid="{00000000-0002-0000-0400-000000000000}">
      <formula1>"En cours,Remboursé,En retard,Restructuré"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J49"/>
  <sheetViews>
    <sheetView showGridLines="0" workbookViewId="0">
      <pane ySplit="4" topLeftCell="A19" activePane="bottomLeft" state="frozen"/>
      <selection pane="bottomLeft" activeCell="C26" sqref="C26"/>
    </sheetView>
  </sheetViews>
  <sheetFormatPr baseColWidth="10" defaultColWidth="8.88671875" defaultRowHeight="14.4" x14ac:dyDescent="0.3"/>
  <cols>
    <col min="1" max="1" width="6" customWidth="1"/>
    <col min="2" max="2" width="8" customWidth="1"/>
    <col min="3" max="3" width="16" customWidth="1"/>
    <col min="4" max="4" width="20" customWidth="1"/>
    <col min="5" max="8" width="14" customWidth="1"/>
    <col min="9" max="9" width="16" customWidth="1"/>
    <col min="10" max="10" width="14" customWidth="1"/>
  </cols>
  <sheetData>
    <row r="1" spans="1:10" ht="40.049999999999997" customHeight="1" x14ac:dyDescent="0.3">
      <c r="A1" s="119" t="s">
        <v>162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19.95" customHeight="1" x14ac:dyDescent="0.3">
      <c r="A2" s="123" t="s">
        <v>84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0" ht="15" customHeight="1" x14ac:dyDescent="0.3"/>
    <row r="4" spans="1:10" ht="30" customHeight="1" x14ac:dyDescent="0.3">
      <c r="A4" s="24" t="s">
        <v>85</v>
      </c>
      <c r="B4" s="24" t="s">
        <v>86</v>
      </c>
      <c r="C4" s="24" t="s">
        <v>42</v>
      </c>
      <c r="D4" s="24" t="s">
        <v>43</v>
      </c>
      <c r="E4" s="24" t="s">
        <v>87</v>
      </c>
      <c r="F4" s="24" t="s">
        <v>76</v>
      </c>
      <c r="G4" s="24" t="s">
        <v>88</v>
      </c>
      <c r="H4" s="24" t="s">
        <v>89</v>
      </c>
      <c r="I4" s="24" t="s">
        <v>90</v>
      </c>
      <c r="J4" s="24" t="s">
        <v>50</v>
      </c>
    </row>
    <row r="5" spans="1:10" ht="19.95" customHeight="1" x14ac:dyDescent="0.3">
      <c r="A5" s="101"/>
      <c r="B5" s="56"/>
      <c r="C5" s="57"/>
      <c r="D5" s="57"/>
      <c r="E5" s="100"/>
      <c r="F5" s="57"/>
      <c r="G5" s="57"/>
      <c r="H5" s="57"/>
      <c r="I5" s="58"/>
      <c r="J5" s="57"/>
    </row>
    <row r="6" spans="1:10" ht="19.95" customHeight="1" x14ac:dyDescent="0.3">
      <c r="A6" s="56"/>
      <c r="B6" s="56"/>
      <c r="C6" s="59"/>
      <c r="D6" s="59"/>
      <c r="E6" s="59"/>
      <c r="F6" s="59"/>
      <c r="G6" s="59"/>
      <c r="H6" s="59"/>
      <c r="I6" s="29"/>
      <c r="J6" s="59"/>
    </row>
    <row r="7" spans="1:10" ht="19.95" customHeight="1" x14ac:dyDescent="0.3">
      <c r="A7" s="56"/>
      <c r="B7" s="56"/>
      <c r="C7" s="57"/>
      <c r="D7" s="57"/>
      <c r="E7" s="57"/>
      <c r="F7" s="57"/>
      <c r="G7" s="57"/>
      <c r="H7" s="57"/>
      <c r="I7" s="58"/>
      <c r="J7" s="57"/>
    </row>
    <row r="8" spans="1:10" ht="19.95" customHeight="1" x14ac:dyDescent="0.3">
      <c r="A8" s="56"/>
      <c r="B8" s="56"/>
      <c r="C8" s="59"/>
      <c r="D8" s="59"/>
      <c r="E8" s="59"/>
      <c r="F8" s="59"/>
      <c r="G8" s="59"/>
      <c r="H8" s="59"/>
      <c r="I8" s="29"/>
      <c r="J8" s="59"/>
    </row>
    <row r="9" spans="1:10" ht="19.95" customHeight="1" x14ac:dyDescent="0.3">
      <c r="A9" s="56"/>
      <c r="B9" s="56"/>
      <c r="C9" s="57"/>
      <c r="D9" s="57"/>
      <c r="E9" s="57"/>
      <c r="F9" s="57"/>
      <c r="G9" s="57"/>
      <c r="H9" s="57"/>
      <c r="I9" s="58" t="str">
        <f>IF(B9="","",_xludf.XLOOKUP(B9,'🏦 PRÊTS'!A$5:A$34,'🏦 PRÊTS'!K$5:K$34,"")-SUMIF(B$5:B9,B9,F$5:F9))</f>
        <v/>
      </c>
      <c r="J9" s="57"/>
    </row>
    <row r="10" spans="1:10" ht="19.95" customHeight="1" x14ac:dyDescent="0.3">
      <c r="A10" s="56"/>
      <c r="B10" s="56"/>
      <c r="C10" s="59"/>
      <c r="D10" s="59"/>
      <c r="E10" s="59"/>
      <c r="F10" s="59"/>
      <c r="G10" s="59"/>
      <c r="H10" s="59"/>
      <c r="I10" s="29" t="str">
        <f>IF(B10="","",_xludf.XLOOKUP(B10,'🏦 PRÊTS'!A$5:A$34,'🏦 PRÊTS'!K$5:K$34,"")-SUMIF(B$5:B10,B10,F$5:F10))</f>
        <v/>
      </c>
      <c r="J10" s="59"/>
    </row>
    <row r="11" spans="1:10" ht="19.95" customHeight="1" x14ac:dyDescent="0.3">
      <c r="A11" s="56"/>
      <c r="B11" s="56"/>
      <c r="C11" s="57"/>
      <c r="D11" s="57"/>
      <c r="E11" s="57"/>
      <c r="F11" s="57"/>
      <c r="G11" s="57"/>
      <c r="H11" s="57"/>
      <c r="I11" s="58" t="str">
        <f>IF(B11="","",_xludf.XLOOKUP(B11,'🏦 PRÊTS'!A$5:A$34,'🏦 PRÊTS'!K$5:K$34,"")-SUMIF(B$5:B11,B11,F$5:F11))</f>
        <v/>
      </c>
      <c r="J11" s="57"/>
    </row>
    <row r="12" spans="1:10" ht="19.95" customHeight="1" x14ac:dyDescent="0.3">
      <c r="A12" s="56"/>
      <c r="B12" s="56"/>
      <c r="C12" s="59"/>
      <c r="D12" s="59"/>
      <c r="E12" s="59"/>
      <c r="F12" s="59"/>
      <c r="G12" s="59"/>
      <c r="H12" s="59"/>
      <c r="I12" s="29" t="str">
        <f>IF(B12="","",_xludf.XLOOKUP(B12,'🏦 PRÊTS'!A$5:A$34,'🏦 PRÊTS'!K$5:K$34,"")-SUMIF(B$5:B12,B12,F$5:F12))</f>
        <v/>
      </c>
      <c r="J12" s="59"/>
    </row>
    <row r="13" spans="1:10" ht="19.95" customHeight="1" x14ac:dyDescent="0.3">
      <c r="A13" s="56"/>
      <c r="B13" s="56"/>
      <c r="C13" s="57"/>
      <c r="D13" s="57"/>
      <c r="E13" s="57"/>
      <c r="F13" s="57"/>
      <c r="G13" s="57"/>
      <c r="H13" s="57"/>
      <c r="I13" s="58" t="str">
        <f>IF(B13="","",_xludf.XLOOKUP(B13,'🏦 PRÊTS'!A$5:A$34,'🏦 PRÊTS'!K$5:K$34,"")-SUMIF(B$5:B13,B13,F$5:F13))</f>
        <v/>
      </c>
      <c r="J13" s="57"/>
    </row>
    <row r="14" spans="1:10" ht="19.95" customHeight="1" x14ac:dyDescent="0.3">
      <c r="A14" s="56"/>
      <c r="B14" s="56"/>
      <c r="C14" s="59"/>
      <c r="D14" s="59"/>
      <c r="E14" s="59"/>
      <c r="F14" s="59"/>
      <c r="G14" s="59"/>
      <c r="H14" s="59"/>
      <c r="I14" s="29" t="str">
        <f>IF(B14="","",_xludf.XLOOKUP(B14,'🏦 PRÊTS'!A$5:A$34,'🏦 PRÊTS'!K$5:K$34,"")-SUMIF(B$5:B14,B14,F$5:F14))</f>
        <v/>
      </c>
      <c r="J14" s="59"/>
    </row>
    <row r="15" spans="1:10" ht="19.95" customHeight="1" x14ac:dyDescent="0.3">
      <c r="A15" s="56"/>
      <c r="B15" s="56"/>
      <c r="C15" s="57"/>
      <c r="D15" s="57"/>
      <c r="E15" s="57"/>
      <c r="F15" s="57"/>
      <c r="G15" s="57"/>
      <c r="H15" s="57"/>
      <c r="I15" s="58" t="str">
        <f>IF(B15="","",_xludf.XLOOKUP(B15,'🏦 PRÊTS'!A$5:A$34,'🏦 PRÊTS'!K$5:K$34,"")-SUMIF(B$5:B15,B15,F$5:F15))</f>
        <v/>
      </c>
      <c r="J15" s="57"/>
    </row>
    <row r="16" spans="1:10" ht="19.95" customHeight="1" x14ac:dyDescent="0.3">
      <c r="A16" s="56"/>
      <c r="B16" s="56"/>
      <c r="C16" s="59"/>
      <c r="D16" s="59"/>
      <c r="E16" s="59"/>
      <c r="F16" s="59"/>
      <c r="G16" s="59"/>
      <c r="H16" s="59"/>
      <c r="I16" s="29" t="str">
        <f>IF(B16="","",_xludf.XLOOKUP(B16,'🏦 PRÊTS'!A$5:A$34,'🏦 PRÊTS'!K$5:K$34,"")-SUMIF(B$5:B16,B16,F$5:F16))</f>
        <v/>
      </c>
      <c r="J16" s="59"/>
    </row>
    <row r="17" spans="1:10" ht="19.95" customHeight="1" x14ac:dyDescent="0.3">
      <c r="A17" s="56"/>
      <c r="B17" s="56"/>
      <c r="C17" s="57"/>
      <c r="D17" s="57"/>
      <c r="E17" s="57"/>
      <c r="F17" s="57"/>
      <c r="G17" s="57"/>
      <c r="H17" s="57"/>
      <c r="I17" s="58" t="str">
        <f>IF(B17="","",_xludf.XLOOKUP(B17,'🏦 PRÊTS'!A$5:A$34,'🏦 PRÊTS'!K$5:K$34,"")-SUMIF(B$5:B17,B17,F$5:F17))</f>
        <v/>
      </c>
      <c r="J17" s="57"/>
    </row>
    <row r="18" spans="1:10" ht="19.95" customHeight="1" x14ac:dyDescent="0.3">
      <c r="A18" s="56"/>
      <c r="B18" s="56"/>
      <c r="C18" s="59"/>
      <c r="D18" s="59"/>
      <c r="E18" s="59"/>
      <c r="F18" s="59"/>
      <c r="G18" s="59"/>
      <c r="H18" s="59"/>
      <c r="I18" s="29" t="str">
        <f>IF(B18="","",_xludf.XLOOKUP(B18,'🏦 PRÊTS'!A$5:A$34,'🏦 PRÊTS'!K$5:K$34,"")-SUMIF(B$5:B18,B18,F$5:F18))</f>
        <v/>
      </c>
      <c r="J18" s="59"/>
    </row>
    <row r="19" spans="1:10" ht="19.95" customHeight="1" x14ac:dyDescent="0.3">
      <c r="A19" s="56"/>
      <c r="B19" s="56"/>
      <c r="C19" s="57"/>
      <c r="D19" s="57"/>
      <c r="E19" s="57"/>
      <c r="F19" s="57"/>
      <c r="G19" s="57"/>
      <c r="H19" s="57"/>
      <c r="I19" s="58" t="str">
        <f>IF(B19="","",_xludf.XLOOKUP(B19,'🏦 PRÊTS'!A$5:A$34,'🏦 PRÊTS'!K$5:K$34,"")-SUMIF(B$5:B19,B19,F$5:F19))</f>
        <v/>
      </c>
      <c r="J19" s="57"/>
    </row>
    <row r="20" spans="1:10" ht="19.95" customHeight="1" x14ac:dyDescent="0.3">
      <c r="A20" s="56"/>
      <c r="B20" s="56"/>
      <c r="C20" s="59"/>
      <c r="D20" s="59"/>
      <c r="E20" s="59"/>
      <c r="F20" s="59"/>
      <c r="G20" s="59"/>
      <c r="H20" s="59"/>
      <c r="I20" s="29" t="str">
        <f>IF(B20="","",_xludf.XLOOKUP(B20,'🏦 PRÊTS'!A$5:A$34,'🏦 PRÊTS'!K$5:K$34,"")-SUMIF(B$5:B20,B20,F$5:F20))</f>
        <v/>
      </c>
      <c r="J20" s="59"/>
    </row>
    <row r="21" spans="1:10" ht="19.95" customHeight="1" x14ac:dyDescent="0.3">
      <c r="A21" s="56"/>
      <c r="B21" s="56"/>
      <c r="C21" s="57"/>
      <c r="D21" s="57"/>
      <c r="E21" s="57"/>
      <c r="F21" s="57"/>
      <c r="G21" s="57"/>
      <c r="H21" s="57"/>
      <c r="I21" s="58" t="str">
        <f>IF(B21="","",_xludf.XLOOKUP(B21,'🏦 PRÊTS'!A$5:A$34,'🏦 PRÊTS'!K$5:K$34,"")-SUMIF(B$5:B21,B21,F$5:F21))</f>
        <v/>
      </c>
      <c r="J21" s="57"/>
    </row>
    <row r="22" spans="1:10" ht="19.95" customHeight="1" x14ac:dyDescent="0.3">
      <c r="A22" s="56"/>
      <c r="B22" s="56"/>
      <c r="C22" s="59"/>
      <c r="D22" s="59"/>
      <c r="E22" s="59"/>
      <c r="F22" s="59"/>
      <c r="G22" s="59"/>
      <c r="H22" s="59"/>
      <c r="I22" s="29" t="str">
        <f>IF(B22="","",_xludf.XLOOKUP(B22,'🏦 PRÊTS'!A$5:A$34,'🏦 PRÊTS'!K$5:K$34,"")-SUMIF(B$5:B22,B22,F$5:F22))</f>
        <v/>
      </c>
      <c r="J22" s="59"/>
    </row>
    <row r="23" spans="1:10" ht="19.95" customHeight="1" x14ac:dyDescent="0.3">
      <c r="A23" s="56"/>
      <c r="B23" s="56"/>
      <c r="C23" s="57"/>
      <c r="D23" s="57"/>
      <c r="E23" s="57"/>
      <c r="F23" s="57"/>
      <c r="G23" s="57"/>
      <c r="H23" s="57"/>
      <c r="I23" s="58" t="str">
        <f>IF(B23="","",_xludf.XLOOKUP(B23,'🏦 PRÊTS'!A$5:A$34,'🏦 PRÊTS'!K$5:K$34,"")-SUMIF(B$5:B23,B23,F$5:F23))</f>
        <v/>
      </c>
      <c r="J23" s="57"/>
    </row>
    <row r="24" spans="1:10" ht="19.95" customHeight="1" x14ac:dyDescent="0.3">
      <c r="A24" s="56"/>
      <c r="B24" s="56"/>
      <c r="C24" s="59"/>
      <c r="D24" s="59"/>
      <c r="E24" s="59"/>
      <c r="F24" s="59"/>
      <c r="G24" s="59"/>
      <c r="H24" s="59"/>
      <c r="I24" s="29" t="str">
        <f>IF(B24="","",_xludf.XLOOKUP(B24,'🏦 PRÊTS'!A$5:A$34,'🏦 PRÊTS'!K$5:K$34,"")-SUMIF(B$5:B24,B24,F$5:F24))</f>
        <v/>
      </c>
      <c r="J24" s="59"/>
    </row>
    <row r="25" spans="1:10" ht="19.95" customHeight="1" x14ac:dyDescent="0.3">
      <c r="A25" s="56"/>
      <c r="B25" s="56"/>
      <c r="C25" s="57"/>
      <c r="D25" s="57"/>
      <c r="E25" s="57"/>
      <c r="F25" s="57"/>
      <c r="G25" s="57"/>
      <c r="H25" s="57"/>
      <c r="I25" s="58" t="str">
        <f>IF(B25="","",_xludf.XLOOKUP(B25,'🏦 PRÊTS'!A$5:A$34,'🏦 PRÊTS'!K$5:K$34,"")-SUMIF(B$5:B25,B25,F$5:F25))</f>
        <v/>
      </c>
      <c r="J25" s="57"/>
    </row>
    <row r="26" spans="1:10" ht="19.95" customHeight="1" x14ac:dyDescent="0.3">
      <c r="A26" s="56"/>
      <c r="B26" s="56"/>
      <c r="C26" s="59"/>
      <c r="D26" s="59"/>
      <c r="E26" s="59"/>
      <c r="F26" s="59"/>
      <c r="G26" s="59"/>
      <c r="H26" s="59"/>
      <c r="I26" s="29" t="str">
        <f>IF(B26="","",_xludf.XLOOKUP(B26,'🏦 PRÊTS'!A$5:A$34,'🏦 PRÊTS'!K$5:K$34,"")-SUMIF(B$5:B26,B26,F$5:F26))</f>
        <v/>
      </c>
      <c r="J26" s="59"/>
    </row>
    <row r="27" spans="1:10" ht="19.95" customHeight="1" x14ac:dyDescent="0.3">
      <c r="A27" s="56"/>
      <c r="B27" s="56"/>
      <c r="C27" s="57"/>
      <c r="D27" s="57"/>
      <c r="E27" s="57"/>
      <c r="F27" s="57"/>
      <c r="G27" s="57"/>
      <c r="H27" s="57"/>
      <c r="I27" s="58" t="str">
        <f>IF(B27="","",_xludf.XLOOKUP(B27,'🏦 PRÊTS'!A$5:A$34,'🏦 PRÊTS'!K$5:K$34,"")-SUMIF(B$5:B27,B27,F$5:F27))</f>
        <v/>
      </c>
      <c r="J27" s="57"/>
    </row>
    <row r="28" spans="1:10" ht="19.95" customHeight="1" x14ac:dyDescent="0.3">
      <c r="A28" s="56"/>
      <c r="B28" s="56"/>
      <c r="C28" s="59"/>
      <c r="D28" s="59"/>
      <c r="E28" s="59"/>
      <c r="F28" s="59"/>
      <c r="G28" s="59"/>
      <c r="H28" s="59"/>
      <c r="I28" s="29" t="str">
        <f>IF(B28="","",_xludf.XLOOKUP(B28,'🏦 PRÊTS'!A$5:A$34,'🏦 PRÊTS'!K$5:K$34,"")-SUMIF(B$5:B28,B28,F$5:F28))</f>
        <v/>
      </c>
      <c r="J28" s="59"/>
    </row>
    <row r="29" spans="1:10" ht="19.95" customHeight="1" x14ac:dyDescent="0.3">
      <c r="A29" s="56"/>
      <c r="B29" s="56"/>
      <c r="C29" s="57"/>
      <c r="D29" s="57"/>
      <c r="E29" s="57"/>
      <c r="F29" s="57"/>
      <c r="G29" s="57"/>
      <c r="H29" s="57"/>
      <c r="I29" s="58" t="str">
        <f>IF(B29="","",_xludf.XLOOKUP(B29,'🏦 PRÊTS'!A$5:A$34,'🏦 PRÊTS'!K$5:K$34,"")-SUMIF(B$5:B29,B29,F$5:F29))</f>
        <v/>
      </c>
      <c r="J29" s="57"/>
    </row>
    <row r="30" spans="1:10" ht="19.95" customHeight="1" x14ac:dyDescent="0.3">
      <c r="A30" s="56"/>
      <c r="B30" s="56"/>
      <c r="C30" s="59"/>
      <c r="D30" s="59"/>
      <c r="E30" s="59"/>
      <c r="F30" s="59"/>
      <c r="G30" s="59"/>
      <c r="H30" s="59"/>
      <c r="I30" s="29" t="str">
        <f>IF(B30="","",_xludf.XLOOKUP(B30,'🏦 PRÊTS'!A$5:A$34,'🏦 PRÊTS'!K$5:K$34,"")-SUMIF(B$5:B30,B30,F$5:F30))</f>
        <v/>
      </c>
      <c r="J30" s="59"/>
    </row>
    <row r="31" spans="1:10" ht="19.95" customHeight="1" x14ac:dyDescent="0.3">
      <c r="A31" s="56"/>
      <c r="B31" s="56"/>
      <c r="C31" s="57"/>
      <c r="D31" s="57"/>
      <c r="E31" s="57"/>
      <c r="F31" s="57"/>
      <c r="G31" s="57"/>
      <c r="H31" s="57"/>
      <c r="I31" s="58" t="str">
        <f>IF(B31="","",_xludf.XLOOKUP(B31,'🏦 PRÊTS'!A$5:A$34,'🏦 PRÊTS'!K$5:K$34,"")-SUMIF(B$5:B31,B31,F$5:F31))</f>
        <v/>
      </c>
      <c r="J31" s="57"/>
    </row>
    <row r="32" spans="1:10" ht="19.95" customHeight="1" x14ac:dyDescent="0.3">
      <c r="A32" s="56"/>
      <c r="B32" s="56"/>
      <c r="C32" s="59"/>
      <c r="D32" s="59"/>
      <c r="E32" s="59"/>
      <c r="F32" s="59"/>
      <c r="G32" s="59"/>
      <c r="H32" s="59"/>
      <c r="I32" s="29" t="str">
        <f>IF(B32="","",_xludf.XLOOKUP(B32,'🏦 PRÊTS'!A$5:A$34,'🏦 PRÊTS'!K$5:K$34,"")-SUMIF(B$5:B32,B32,F$5:F32))</f>
        <v/>
      </c>
      <c r="J32" s="59"/>
    </row>
    <row r="33" spans="1:10" ht="19.95" customHeight="1" x14ac:dyDescent="0.3">
      <c r="A33" s="56"/>
      <c r="B33" s="56"/>
      <c r="C33" s="57"/>
      <c r="D33" s="57"/>
      <c r="E33" s="57"/>
      <c r="F33" s="57"/>
      <c r="G33" s="57"/>
      <c r="H33" s="57"/>
      <c r="I33" s="58" t="str">
        <f>IF(B33="","",_xludf.XLOOKUP(B33,'🏦 PRÊTS'!A$5:A$34,'🏦 PRÊTS'!K$5:K$34,"")-SUMIF(B$5:B33,B33,F$5:F33))</f>
        <v/>
      </c>
      <c r="J33" s="57"/>
    </row>
    <row r="34" spans="1:10" ht="19.95" customHeight="1" x14ac:dyDescent="0.3">
      <c r="A34" s="56"/>
      <c r="B34" s="56"/>
      <c r="C34" s="59"/>
      <c r="D34" s="59"/>
      <c r="E34" s="59"/>
      <c r="F34" s="59"/>
      <c r="G34" s="59"/>
      <c r="H34" s="59"/>
      <c r="I34" s="29" t="str">
        <f>IF(B34="","",_xludf.XLOOKUP(B34,'🏦 PRÊTS'!A$5:A$34,'🏦 PRÊTS'!K$5:K$34,"")-SUMIF(B$5:B34,B34,F$5:F34))</f>
        <v/>
      </c>
      <c r="J34" s="59"/>
    </row>
    <row r="35" spans="1:10" ht="19.95" customHeight="1" x14ac:dyDescent="0.3">
      <c r="A35" s="56"/>
      <c r="B35" s="56"/>
      <c r="C35" s="57"/>
      <c r="D35" s="57"/>
      <c r="E35" s="57"/>
      <c r="F35" s="57"/>
      <c r="G35" s="57"/>
      <c r="H35" s="57"/>
      <c r="I35" s="58" t="str">
        <f>IF(B35="","",_xludf.XLOOKUP(B35,'🏦 PRÊTS'!A$5:A$34,'🏦 PRÊTS'!K$5:K$34,"")-SUMIF(B$5:B35,B35,F$5:F35))</f>
        <v/>
      </c>
      <c r="J35" s="57"/>
    </row>
    <row r="36" spans="1:10" ht="19.95" customHeight="1" x14ac:dyDescent="0.3">
      <c r="A36" s="56"/>
      <c r="B36" s="56"/>
      <c r="C36" s="59"/>
      <c r="D36" s="59"/>
      <c r="E36" s="59"/>
      <c r="F36" s="59"/>
      <c r="G36" s="59"/>
      <c r="H36" s="59"/>
      <c r="I36" s="29" t="str">
        <f>IF(B36="","",_xludf.XLOOKUP(B36,'🏦 PRÊTS'!A$5:A$34,'🏦 PRÊTS'!K$5:K$34,"")-SUMIF(B$5:B36,B36,F$5:F36))</f>
        <v/>
      </c>
      <c r="J36" s="59"/>
    </row>
    <row r="37" spans="1:10" ht="19.95" customHeight="1" x14ac:dyDescent="0.3">
      <c r="A37" s="56"/>
      <c r="B37" s="56"/>
      <c r="C37" s="57"/>
      <c r="D37" s="57"/>
      <c r="E37" s="57"/>
      <c r="F37" s="57"/>
      <c r="G37" s="57"/>
      <c r="H37" s="57"/>
      <c r="I37" s="58" t="str">
        <f>IF(B37="","",_xludf.XLOOKUP(B37,'🏦 PRÊTS'!A$5:A$34,'🏦 PRÊTS'!K$5:K$34,"")-SUMIF(B$5:B37,B37,F$5:F37))</f>
        <v/>
      </c>
      <c r="J37" s="57"/>
    </row>
    <row r="38" spans="1:10" ht="19.95" customHeight="1" x14ac:dyDescent="0.3">
      <c r="A38" s="56"/>
      <c r="B38" s="56"/>
      <c r="C38" s="59"/>
      <c r="D38" s="59"/>
      <c r="E38" s="59"/>
      <c r="F38" s="59"/>
      <c r="G38" s="59"/>
      <c r="H38" s="59"/>
      <c r="I38" s="29" t="str">
        <f>IF(B38="","",_xludf.XLOOKUP(B38,'🏦 PRÊTS'!A$5:A$34,'🏦 PRÊTS'!K$5:K$34,"")-SUMIF(B$5:B38,B38,F$5:F38))</f>
        <v/>
      </c>
      <c r="J38" s="59"/>
    </row>
    <row r="39" spans="1:10" ht="19.95" customHeight="1" x14ac:dyDescent="0.3">
      <c r="A39" s="56"/>
      <c r="B39" s="56"/>
      <c r="C39" s="57"/>
      <c r="D39" s="57"/>
      <c r="E39" s="57"/>
      <c r="F39" s="57"/>
      <c r="G39" s="57"/>
      <c r="H39" s="57"/>
      <c r="I39" s="58" t="str">
        <f>IF(B39="","",_xludf.XLOOKUP(B39,'🏦 PRÊTS'!A$5:A$34,'🏦 PRÊTS'!K$5:K$34,"")-SUMIF(B$5:B39,B39,F$5:F39))</f>
        <v/>
      </c>
      <c r="J39" s="57"/>
    </row>
    <row r="40" spans="1:10" ht="19.95" customHeight="1" x14ac:dyDescent="0.3">
      <c r="A40" s="56"/>
      <c r="B40" s="56"/>
      <c r="C40" s="59"/>
      <c r="D40" s="59"/>
      <c r="E40" s="59"/>
      <c r="F40" s="59"/>
      <c r="G40" s="59"/>
      <c r="H40" s="59"/>
      <c r="I40" s="29" t="str">
        <f>IF(B40="","",_xludf.XLOOKUP(B40,'🏦 PRÊTS'!A$5:A$34,'🏦 PRÊTS'!K$5:K$34,"")-SUMIF(B$5:B40,B40,F$5:F40))</f>
        <v/>
      </c>
      <c r="J40" s="59"/>
    </row>
    <row r="41" spans="1:10" ht="19.95" customHeight="1" x14ac:dyDescent="0.3">
      <c r="A41" s="56"/>
      <c r="B41" s="56"/>
      <c r="C41" s="57"/>
      <c r="D41" s="57"/>
      <c r="E41" s="57"/>
      <c r="F41" s="57"/>
      <c r="G41" s="57"/>
      <c r="H41" s="57"/>
      <c r="I41" s="58" t="str">
        <f>IF(B41="","",_xludf.XLOOKUP(B41,'🏦 PRÊTS'!A$5:A$34,'🏦 PRÊTS'!K$5:K$34,"")-SUMIF(B$5:B41,B41,F$5:F41))</f>
        <v/>
      </c>
      <c r="J41" s="57"/>
    </row>
    <row r="42" spans="1:10" ht="19.95" customHeight="1" x14ac:dyDescent="0.3">
      <c r="A42" s="56"/>
      <c r="B42" s="56"/>
      <c r="C42" s="59"/>
      <c r="D42" s="59"/>
      <c r="E42" s="59"/>
      <c r="F42" s="59"/>
      <c r="G42" s="59"/>
      <c r="H42" s="59"/>
      <c r="I42" s="29" t="str">
        <f>IF(B42="","",_xludf.XLOOKUP(B42,'🏦 PRÊTS'!A$5:A$34,'🏦 PRÊTS'!K$5:K$34,"")-SUMIF(B$5:B42,B42,F$5:F42))</f>
        <v/>
      </c>
      <c r="J42" s="59"/>
    </row>
    <row r="43" spans="1:10" ht="19.95" customHeight="1" x14ac:dyDescent="0.3">
      <c r="A43" s="56"/>
      <c r="B43" s="56"/>
      <c r="C43" s="57"/>
      <c r="D43" s="57"/>
      <c r="E43" s="57"/>
      <c r="F43" s="57"/>
      <c r="G43" s="57"/>
      <c r="H43" s="57"/>
      <c r="I43" s="58" t="str">
        <f>IF(B43="","",_xludf.XLOOKUP(B43,'🏦 PRÊTS'!A$5:A$34,'🏦 PRÊTS'!K$5:K$34,"")-SUMIF(B$5:B43,B43,F$5:F43))</f>
        <v/>
      </c>
      <c r="J43" s="57"/>
    </row>
    <row r="44" spans="1:10" ht="19.95" customHeight="1" x14ac:dyDescent="0.3">
      <c r="A44" s="56"/>
      <c r="B44" s="56"/>
      <c r="C44" s="59"/>
      <c r="D44" s="59"/>
      <c r="E44" s="59"/>
      <c r="F44" s="59"/>
      <c r="G44" s="59"/>
      <c r="H44" s="59"/>
      <c r="I44" s="29" t="str">
        <f>IF(B44="","",_xludf.XLOOKUP(B44,'🏦 PRÊTS'!A$5:A$34,'🏦 PRÊTS'!K$5:K$34,"")-SUMIF(B$5:B44,B44,F$5:F44))</f>
        <v/>
      </c>
      <c r="J44" s="59"/>
    </row>
    <row r="45" spans="1:10" ht="19.95" customHeight="1" x14ac:dyDescent="0.3">
      <c r="A45" s="56"/>
      <c r="B45" s="56"/>
      <c r="C45" s="57"/>
      <c r="D45" s="57"/>
      <c r="E45" s="57"/>
      <c r="F45" s="57"/>
      <c r="G45" s="57"/>
      <c r="H45" s="57"/>
      <c r="I45" s="58" t="str">
        <f>IF(B45="","",_xludf.XLOOKUP(B45,'🏦 PRÊTS'!A$5:A$34,'🏦 PRÊTS'!K$5:K$34,"")-SUMIF(B$5:B45,B45,F$5:F45))</f>
        <v/>
      </c>
      <c r="J45" s="57"/>
    </row>
    <row r="46" spans="1:10" ht="19.95" customHeight="1" x14ac:dyDescent="0.3">
      <c r="A46" s="56"/>
      <c r="B46" s="56"/>
      <c r="C46" s="59"/>
      <c r="D46" s="59"/>
      <c r="E46" s="59"/>
      <c r="F46" s="59"/>
      <c r="G46" s="59"/>
      <c r="H46" s="59"/>
      <c r="I46" s="29" t="str">
        <f>IF(B46="","",_xludf.XLOOKUP(B46,'🏦 PRÊTS'!A$5:A$34,'🏦 PRÊTS'!K$5:K$34,"")-SUMIF(B$5:B46,B46,F$5:F46))</f>
        <v/>
      </c>
      <c r="J46" s="59"/>
    </row>
    <row r="47" spans="1:10" ht="19.95" customHeight="1" x14ac:dyDescent="0.3">
      <c r="A47" s="56"/>
      <c r="B47" s="56"/>
      <c r="C47" s="57"/>
      <c r="D47" s="57"/>
      <c r="E47" s="57"/>
      <c r="F47" s="57"/>
      <c r="G47" s="57"/>
      <c r="H47" s="57"/>
      <c r="I47" s="58" t="str">
        <f>IF(B47="","",_xludf.XLOOKUP(B47,'🏦 PRÊTS'!A$5:A$34,'🏦 PRÊTS'!K$5:K$34,"")-SUMIF(B$5:B47,B47,F$5:F47))</f>
        <v/>
      </c>
      <c r="J47" s="57"/>
    </row>
    <row r="48" spans="1:10" ht="19.95" customHeight="1" x14ac:dyDescent="0.3">
      <c r="A48" s="56"/>
      <c r="B48" s="56"/>
      <c r="C48" s="59"/>
      <c r="D48" s="59"/>
      <c r="E48" s="59"/>
      <c r="F48" s="59"/>
      <c r="G48" s="59"/>
      <c r="H48" s="59"/>
      <c r="I48" s="29" t="str">
        <f>IF(B48="","",_xludf.XLOOKUP(B48,'🏦 PRÊTS'!A$5:A$34,'🏦 PRÊTS'!K$5:K$34,"")-SUMIF(B$5:B48,B48,F$5:F48))</f>
        <v/>
      </c>
      <c r="J48" s="59"/>
    </row>
    <row r="49" spans="1:10" ht="19.95" customHeight="1" x14ac:dyDescent="0.3">
      <c r="A49" s="56"/>
      <c r="B49" s="56"/>
      <c r="C49" s="57"/>
      <c r="D49" s="57"/>
      <c r="E49" s="57"/>
      <c r="F49" s="57"/>
      <c r="G49" s="57"/>
      <c r="H49" s="57"/>
      <c r="I49" s="58" t="str">
        <f>IF(B49="","",_xludf.XLOOKUP(B49,'🏦 PRÊTS'!A$5:A$34,'🏦 PRÊTS'!K$5:K$34,"")-SUMIF(B$5:B49,B49,F$5:F49))</f>
        <v/>
      </c>
      <c r="J49" s="57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I60"/>
  <sheetViews>
    <sheetView showGridLines="0" workbookViewId="0">
      <pane ySplit="4" topLeftCell="A15" activePane="bottomLeft" state="frozen"/>
      <selection pane="bottomLeft" activeCell="H12" sqref="H12"/>
    </sheetView>
  </sheetViews>
  <sheetFormatPr baseColWidth="10" defaultColWidth="8.88671875" defaultRowHeight="14.4" x14ac:dyDescent="0.3"/>
  <cols>
    <col min="1" max="1" width="6" customWidth="1"/>
    <col min="2" max="2" width="8" customWidth="1"/>
    <col min="3" max="3" width="16" customWidth="1"/>
    <col min="4" max="4" width="20" customWidth="1"/>
    <col min="5" max="5" width="14" customWidth="1"/>
    <col min="6" max="6" width="20" customWidth="1"/>
    <col min="7" max="7" width="14" customWidth="1"/>
    <col min="8" max="8" width="12" customWidth="1"/>
    <col min="9" max="9" width="16" customWidth="1"/>
  </cols>
  <sheetData>
    <row r="1" spans="1:9" ht="40.049999999999997" customHeight="1" x14ac:dyDescent="0.3">
      <c r="A1" s="129" t="s">
        <v>161</v>
      </c>
      <c r="B1" s="105"/>
      <c r="C1" s="105"/>
      <c r="D1" s="105"/>
      <c r="E1" s="105"/>
      <c r="F1" s="105"/>
      <c r="G1" s="105"/>
      <c r="H1" s="105"/>
      <c r="I1" s="105"/>
    </row>
    <row r="2" spans="1:9" x14ac:dyDescent="0.3">
      <c r="A2" s="130" t="s">
        <v>167</v>
      </c>
      <c r="B2" s="105"/>
      <c r="C2" s="105"/>
      <c r="D2" s="105"/>
      <c r="E2" s="105"/>
      <c r="F2" s="105"/>
      <c r="G2" s="105"/>
      <c r="H2" s="105"/>
      <c r="I2" s="105"/>
    </row>
    <row r="3" spans="1:9" ht="19.95" customHeight="1" x14ac:dyDescent="0.3"/>
    <row r="4" spans="1:9" ht="30" customHeight="1" x14ac:dyDescent="0.3">
      <c r="A4" s="60" t="s">
        <v>91</v>
      </c>
      <c r="B4" s="60" t="s">
        <v>92</v>
      </c>
      <c r="C4" s="60" t="s">
        <v>42</v>
      </c>
      <c r="D4" s="60" t="s">
        <v>43</v>
      </c>
      <c r="E4" s="60" t="s">
        <v>93</v>
      </c>
      <c r="F4" s="60" t="s">
        <v>94</v>
      </c>
      <c r="G4" s="60" t="s">
        <v>76</v>
      </c>
      <c r="H4" s="60" t="s">
        <v>95</v>
      </c>
      <c r="I4" s="60" t="s">
        <v>96</v>
      </c>
    </row>
    <row r="5" spans="1:9" ht="22.05" customHeight="1" x14ac:dyDescent="0.3">
      <c r="A5" s="61"/>
      <c r="B5" s="62"/>
      <c r="C5" s="32"/>
      <c r="D5" s="32"/>
      <c r="E5" s="34"/>
      <c r="F5" s="32"/>
      <c r="G5" s="39"/>
      <c r="H5" s="34"/>
      <c r="I5" s="63"/>
    </row>
    <row r="6" spans="1:9" ht="22.05" customHeight="1" x14ac:dyDescent="0.3">
      <c r="A6" s="61"/>
      <c r="B6" s="62"/>
      <c r="C6" s="64"/>
      <c r="D6" s="64"/>
      <c r="E6" s="65"/>
      <c r="F6" s="64"/>
      <c r="G6" s="66"/>
      <c r="H6" s="65"/>
      <c r="I6" s="67"/>
    </row>
    <row r="7" spans="1:9" ht="22.05" customHeight="1" x14ac:dyDescent="0.3">
      <c r="A7" s="61"/>
      <c r="B7" s="62"/>
      <c r="C7" s="32"/>
      <c r="D7" s="32"/>
      <c r="E7" s="34"/>
      <c r="F7" s="32"/>
      <c r="G7" s="39"/>
      <c r="H7" s="34"/>
      <c r="I7" s="63"/>
    </row>
    <row r="8" spans="1:9" ht="22.05" customHeight="1" x14ac:dyDescent="0.3">
      <c r="A8" s="61"/>
      <c r="B8" s="62"/>
      <c r="C8" s="64"/>
      <c r="D8" s="64"/>
      <c r="E8" s="65"/>
      <c r="F8" s="64"/>
      <c r="G8" s="66"/>
      <c r="H8" s="65"/>
      <c r="I8" s="67"/>
    </row>
    <row r="9" spans="1:9" ht="22.05" customHeight="1" x14ac:dyDescent="0.3">
      <c r="A9" s="61"/>
      <c r="B9" s="62"/>
      <c r="C9" s="32"/>
      <c r="D9" s="32"/>
      <c r="E9" s="34"/>
      <c r="F9" s="32"/>
      <c r="G9" s="39"/>
      <c r="H9" s="34"/>
      <c r="I9" s="63"/>
    </row>
    <row r="10" spans="1:9" ht="19.95" customHeight="1" x14ac:dyDescent="0.3">
      <c r="A10" s="56"/>
      <c r="B10" s="56"/>
      <c r="C10" s="68"/>
      <c r="D10" s="68"/>
      <c r="E10" s="68"/>
      <c r="F10" s="68"/>
      <c r="G10" s="68"/>
      <c r="H10" s="68"/>
      <c r="I10" s="67"/>
    </row>
    <row r="11" spans="1:9" ht="19.95" customHeight="1" x14ac:dyDescent="0.3">
      <c r="A11" s="56"/>
      <c r="B11" s="56"/>
      <c r="C11" s="57"/>
      <c r="D11" s="57"/>
      <c r="E11" s="57"/>
      <c r="F11" s="57"/>
      <c r="G11" s="57"/>
      <c r="H11" s="57"/>
      <c r="I11" s="63"/>
    </row>
    <row r="12" spans="1:9" ht="19.95" customHeight="1" x14ac:dyDescent="0.3">
      <c r="A12" s="56"/>
      <c r="B12" s="56"/>
      <c r="C12" s="68"/>
      <c r="D12" s="68"/>
      <c r="E12" s="68"/>
      <c r="F12" s="68"/>
      <c r="G12" s="68"/>
      <c r="H12" s="68"/>
      <c r="I12" s="67"/>
    </row>
    <row r="13" spans="1:9" ht="19.95" customHeight="1" x14ac:dyDescent="0.3">
      <c r="A13" s="56"/>
      <c r="B13" s="56"/>
      <c r="C13" s="57"/>
      <c r="D13" s="57"/>
      <c r="E13" s="57"/>
      <c r="F13" s="57"/>
      <c r="G13" s="57"/>
      <c r="H13" s="57"/>
      <c r="I13" s="63" t="str">
        <f t="shared" ref="I13:I41" si="0">IF(H13="","",IF(H13="Oui",0,IF(H13="Non",G13,G13/2)))</f>
        <v/>
      </c>
    </row>
    <row r="14" spans="1:9" ht="19.95" customHeight="1" x14ac:dyDescent="0.3">
      <c r="A14" s="56"/>
      <c r="B14" s="56"/>
      <c r="C14" s="68"/>
      <c r="D14" s="68"/>
      <c r="E14" s="68"/>
      <c r="F14" s="68"/>
      <c r="G14" s="68"/>
      <c r="H14" s="68"/>
      <c r="I14" s="67" t="str">
        <f t="shared" si="0"/>
        <v/>
      </c>
    </row>
    <row r="15" spans="1:9" ht="19.95" customHeight="1" x14ac:dyDescent="0.3">
      <c r="A15" s="56"/>
      <c r="B15" s="56"/>
      <c r="C15" s="57"/>
      <c r="D15" s="57"/>
      <c r="E15" s="57"/>
      <c r="F15" s="57"/>
      <c r="G15" s="57"/>
      <c r="H15" s="57"/>
      <c r="I15" s="63" t="str">
        <f t="shared" si="0"/>
        <v/>
      </c>
    </row>
    <row r="16" spans="1:9" ht="19.95" customHeight="1" x14ac:dyDescent="0.3">
      <c r="A16" s="56"/>
      <c r="B16" s="56"/>
      <c r="C16" s="68"/>
      <c r="D16" s="68"/>
      <c r="E16" s="68"/>
      <c r="F16" s="68"/>
      <c r="G16" s="68"/>
      <c r="H16" s="68"/>
      <c r="I16" s="67" t="str">
        <f t="shared" si="0"/>
        <v/>
      </c>
    </row>
    <row r="17" spans="1:9" ht="19.95" customHeight="1" x14ac:dyDescent="0.3">
      <c r="A17" s="56"/>
      <c r="B17" s="56"/>
      <c r="C17" s="57"/>
      <c r="D17" s="57"/>
      <c r="E17" s="57"/>
      <c r="F17" s="57"/>
      <c r="G17" s="57"/>
      <c r="H17" s="57"/>
      <c r="I17" s="63" t="str">
        <f t="shared" si="0"/>
        <v/>
      </c>
    </row>
    <row r="18" spans="1:9" ht="19.95" customHeight="1" x14ac:dyDescent="0.3">
      <c r="A18" s="56"/>
      <c r="B18" s="56"/>
      <c r="C18" s="68"/>
      <c r="D18" s="68"/>
      <c r="E18" s="68"/>
      <c r="F18" s="68"/>
      <c r="G18" s="68"/>
      <c r="H18" s="68"/>
      <c r="I18" s="67" t="str">
        <f t="shared" si="0"/>
        <v/>
      </c>
    </row>
    <row r="19" spans="1:9" ht="19.95" customHeight="1" x14ac:dyDescent="0.3">
      <c r="A19" s="56"/>
      <c r="B19" s="56"/>
      <c r="C19" s="57"/>
      <c r="D19" s="57"/>
      <c r="E19" s="57"/>
      <c r="F19" s="57"/>
      <c r="G19" s="57"/>
      <c r="H19" s="57"/>
      <c r="I19" s="63" t="str">
        <f t="shared" si="0"/>
        <v/>
      </c>
    </row>
    <row r="20" spans="1:9" ht="19.95" customHeight="1" x14ac:dyDescent="0.3">
      <c r="A20" s="56"/>
      <c r="B20" s="56"/>
      <c r="C20" s="68"/>
      <c r="D20" s="68"/>
      <c r="E20" s="68"/>
      <c r="F20" s="68"/>
      <c r="G20" s="68"/>
      <c r="H20" s="68"/>
      <c r="I20" s="67" t="str">
        <f t="shared" si="0"/>
        <v/>
      </c>
    </row>
    <row r="21" spans="1:9" ht="19.95" customHeight="1" x14ac:dyDescent="0.3">
      <c r="A21" s="56"/>
      <c r="B21" s="56"/>
      <c r="C21" s="57"/>
      <c r="D21" s="57"/>
      <c r="E21" s="57"/>
      <c r="F21" s="57"/>
      <c r="G21" s="57"/>
      <c r="H21" s="57"/>
      <c r="I21" s="63" t="str">
        <f t="shared" si="0"/>
        <v/>
      </c>
    </row>
    <row r="22" spans="1:9" ht="19.95" customHeight="1" x14ac:dyDescent="0.3">
      <c r="A22" s="56"/>
      <c r="B22" s="56"/>
      <c r="C22" s="68"/>
      <c r="D22" s="68"/>
      <c r="E22" s="68"/>
      <c r="F22" s="68"/>
      <c r="G22" s="68"/>
      <c r="H22" s="68"/>
      <c r="I22" s="67" t="str">
        <f t="shared" si="0"/>
        <v/>
      </c>
    </row>
    <row r="23" spans="1:9" ht="19.95" customHeight="1" x14ac:dyDescent="0.3">
      <c r="A23" s="56"/>
      <c r="B23" s="56"/>
      <c r="C23" s="57"/>
      <c r="D23" s="57"/>
      <c r="E23" s="57"/>
      <c r="F23" s="57"/>
      <c r="G23" s="57"/>
      <c r="H23" s="57"/>
      <c r="I23" s="63" t="str">
        <f t="shared" si="0"/>
        <v/>
      </c>
    </row>
    <row r="24" spans="1:9" ht="19.95" customHeight="1" x14ac:dyDescent="0.3">
      <c r="A24" s="56"/>
      <c r="B24" s="56"/>
      <c r="C24" s="68"/>
      <c r="D24" s="68"/>
      <c r="E24" s="68"/>
      <c r="F24" s="68"/>
      <c r="G24" s="68"/>
      <c r="H24" s="68"/>
      <c r="I24" s="67" t="str">
        <f t="shared" si="0"/>
        <v/>
      </c>
    </row>
    <row r="25" spans="1:9" ht="19.95" customHeight="1" x14ac:dyDescent="0.3">
      <c r="A25" s="56"/>
      <c r="B25" s="56"/>
      <c r="C25" s="57"/>
      <c r="D25" s="57"/>
      <c r="E25" s="57"/>
      <c r="F25" s="57"/>
      <c r="G25" s="57"/>
      <c r="H25" s="57"/>
      <c r="I25" s="63" t="str">
        <f t="shared" si="0"/>
        <v/>
      </c>
    </row>
    <row r="26" spans="1:9" ht="19.95" customHeight="1" x14ac:dyDescent="0.3">
      <c r="A26" s="56"/>
      <c r="B26" s="56"/>
      <c r="C26" s="68"/>
      <c r="D26" s="68"/>
      <c r="E26" s="68"/>
      <c r="F26" s="68"/>
      <c r="G26" s="68"/>
      <c r="H26" s="68"/>
      <c r="I26" s="67" t="str">
        <f t="shared" si="0"/>
        <v/>
      </c>
    </row>
    <row r="27" spans="1:9" ht="19.95" customHeight="1" x14ac:dyDescent="0.3">
      <c r="A27" s="56"/>
      <c r="B27" s="56"/>
      <c r="C27" s="57"/>
      <c r="D27" s="57"/>
      <c r="E27" s="57"/>
      <c r="F27" s="57"/>
      <c r="G27" s="57"/>
      <c r="H27" s="57"/>
      <c r="I27" s="63" t="str">
        <f t="shared" si="0"/>
        <v/>
      </c>
    </row>
    <row r="28" spans="1:9" ht="19.95" customHeight="1" x14ac:dyDescent="0.3">
      <c r="A28" s="56"/>
      <c r="B28" s="56"/>
      <c r="C28" s="68"/>
      <c r="D28" s="68"/>
      <c r="E28" s="68"/>
      <c r="F28" s="68"/>
      <c r="G28" s="68"/>
      <c r="H28" s="68"/>
      <c r="I28" s="67" t="str">
        <f t="shared" si="0"/>
        <v/>
      </c>
    </row>
    <row r="29" spans="1:9" ht="19.95" customHeight="1" x14ac:dyDescent="0.3">
      <c r="A29" s="56"/>
      <c r="B29" s="56"/>
      <c r="C29" s="57"/>
      <c r="D29" s="57"/>
      <c r="E29" s="57"/>
      <c r="F29" s="57"/>
      <c r="G29" s="57"/>
      <c r="H29" s="57"/>
      <c r="I29" s="63" t="str">
        <f t="shared" si="0"/>
        <v/>
      </c>
    </row>
    <row r="30" spans="1:9" ht="19.95" customHeight="1" x14ac:dyDescent="0.3">
      <c r="A30" s="56"/>
      <c r="B30" s="56"/>
      <c r="C30" s="68"/>
      <c r="D30" s="68"/>
      <c r="E30" s="68"/>
      <c r="F30" s="68"/>
      <c r="G30" s="68"/>
      <c r="H30" s="68"/>
      <c r="I30" s="67" t="str">
        <f t="shared" si="0"/>
        <v/>
      </c>
    </row>
    <row r="31" spans="1:9" ht="19.95" customHeight="1" x14ac:dyDescent="0.3">
      <c r="A31" s="56"/>
      <c r="B31" s="56"/>
      <c r="C31" s="57"/>
      <c r="D31" s="57"/>
      <c r="E31" s="57"/>
      <c r="F31" s="57"/>
      <c r="G31" s="57"/>
      <c r="H31" s="57"/>
      <c r="I31" s="63" t="str">
        <f t="shared" si="0"/>
        <v/>
      </c>
    </row>
    <row r="32" spans="1:9" ht="19.95" customHeight="1" x14ac:dyDescent="0.3">
      <c r="A32" s="56"/>
      <c r="B32" s="56"/>
      <c r="C32" s="68"/>
      <c r="D32" s="68"/>
      <c r="E32" s="68"/>
      <c r="F32" s="68"/>
      <c r="G32" s="68"/>
      <c r="H32" s="68"/>
      <c r="I32" s="67" t="str">
        <f t="shared" si="0"/>
        <v/>
      </c>
    </row>
    <row r="33" spans="1:9" ht="19.95" customHeight="1" x14ac:dyDescent="0.3">
      <c r="A33" s="56"/>
      <c r="B33" s="56"/>
      <c r="C33" s="57"/>
      <c r="D33" s="57"/>
      <c r="E33" s="57"/>
      <c r="F33" s="57"/>
      <c r="G33" s="57"/>
      <c r="H33" s="57"/>
      <c r="I33" s="63" t="str">
        <f t="shared" si="0"/>
        <v/>
      </c>
    </row>
    <row r="34" spans="1:9" ht="19.95" customHeight="1" x14ac:dyDescent="0.3">
      <c r="A34" s="56"/>
      <c r="B34" s="56"/>
      <c r="C34" s="68"/>
      <c r="D34" s="68"/>
      <c r="E34" s="68"/>
      <c r="F34" s="68"/>
      <c r="G34" s="68"/>
      <c r="H34" s="68"/>
      <c r="I34" s="67" t="str">
        <f t="shared" si="0"/>
        <v/>
      </c>
    </row>
    <row r="35" spans="1:9" ht="19.95" customHeight="1" x14ac:dyDescent="0.3">
      <c r="A35" s="56"/>
      <c r="B35" s="56"/>
      <c r="C35" s="57"/>
      <c r="D35" s="57"/>
      <c r="E35" s="57"/>
      <c r="F35" s="57"/>
      <c r="G35" s="57"/>
      <c r="H35" s="57"/>
      <c r="I35" s="63" t="str">
        <f t="shared" si="0"/>
        <v/>
      </c>
    </row>
    <row r="36" spans="1:9" ht="19.95" customHeight="1" x14ac:dyDescent="0.3">
      <c r="A36" s="56"/>
      <c r="B36" s="56"/>
      <c r="C36" s="68"/>
      <c r="D36" s="68"/>
      <c r="E36" s="68"/>
      <c r="F36" s="68"/>
      <c r="G36" s="68"/>
      <c r="H36" s="68"/>
      <c r="I36" s="67" t="str">
        <f t="shared" si="0"/>
        <v/>
      </c>
    </row>
    <row r="37" spans="1:9" ht="19.95" customHeight="1" x14ac:dyDescent="0.3">
      <c r="A37" s="56"/>
      <c r="B37" s="56"/>
      <c r="C37" s="57"/>
      <c r="D37" s="57"/>
      <c r="E37" s="57"/>
      <c r="F37" s="57"/>
      <c r="G37" s="57"/>
      <c r="H37" s="57"/>
      <c r="I37" s="63" t="str">
        <f t="shared" si="0"/>
        <v/>
      </c>
    </row>
    <row r="38" spans="1:9" ht="19.95" customHeight="1" x14ac:dyDescent="0.3">
      <c r="A38" s="56"/>
      <c r="B38" s="56"/>
      <c r="C38" s="68"/>
      <c r="D38" s="68"/>
      <c r="E38" s="68"/>
      <c r="F38" s="68"/>
      <c r="G38" s="68"/>
      <c r="H38" s="68"/>
      <c r="I38" s="67" t="str">
        <f t="shared" si="0"/>
        <v/>
      </c>
    </row>
    <row r="39" spans="1:9" ht="19.95" customHeight="1" x14ac:dyDescent="0.3">
      <c r="A39" s="56"/>
      <c r="B39" s="56"/>
      <c r="C39" s="57"/>
      <c r="D39" s="57"/>
      <c r="E39" s="57"/>
      <c r="F39" s="57"/>
      <c r="G39" s="57"/>
      <c r="H39" s="57"/>
      <c r="I39" s="63" t="str">
        <f t="shared" si="0"/>
        <v/>
      </c>
    </row>
    <row r="40" spans="1:9" ht="19.95" customHeight="1" x14ac:dyDescent="0.3">
      <c r="A40" s="56"/>
      <c r="B40" s="56"/>
      <c r="C40" s="68"/>
      <c r="D40" s="68"/>
      <c r="E40" s="68"/>
      <c r="F40" s="68"/>
      <c r="G40" s="68"/>
      <c r="H40" s="68"/>
      <c r="I40" s="67" t="str">
        <f t="shared" si="0"/>
        <v/>
      </c>
    </row>
    <row r="41" spans="1:9" ht="19.95" customHeight="1" x14ac:dyDescent="0.3">
      <c r="A41" s="56"/>
      <c r="B41" s="56"/>
      <c r="C41" s="57"/>
      <c r="D41" s="57"/>
      <c r="E41" s="57"/>
      <c r="F41" s="57"/>
      <c r="G41" s="57"/>
      <c r="H41" s="57"/>
      <c r="I41" s="63" t="str">
        <f t="shared" si="0"/>
        <v/>
      </c>
    </row>
    <row r="42" spans="1:9" ht="19.95" customHeight="1" x14ac:dyDescent="0.3">
      <c r="A42" s="56"/>
      <c r="B42" s="56"/>
      <c r="C42" s="68"/>
      <c r="D42" s="68"/>
      <c r="E42" s="68"/>
      <c r="F42" s="68"/>
      <c r="G42" s="68"/>
      <c r="H42" s="68"/>
      <c r="I42" s="67" t="str">
        <f t="shared" ref="I42:I59" si="1">IF(H42="","",IF(H42="Oui",0,IF(H42="Non",G42,G42/2)))</f>
        <v/>
      </c>
    </row>
    <row r="43" spans="1:9" ht="19.95" customHeight="1" x14ac:dyDescent="0.3">
      <c r="A43" s="56"/>
      <c r="B43" s="56"/>
      <c r="C43" s="57"/>
      <c r="D43" s="57"/>
      <c r="E43" s="57"/>
      <c r="F43" s="57"/>
      <c r="G43" s="57"/>
      <c r="H43" s="57"/>
      <c r="I43" s="63" t="str">
        <f t="shared" si="1"/>
        <v/>
      </c>
    </row>
    <row r="44" spans="1:9" ht="19.95" customHeight="1" x14ac:dyDescent="0.3">
      <c r="A44" s="56"/>
      <c r="B44" s="56"/>
      <c r="C44" s="68"/>
      <c r="D44" s="68"/>
      <c r="E44" s="68"/>
      <c r="F44" s="68"/>
      <c r="G44" s="68"/>
      <c r="H44" s="68"/>
      <c r="I44" s="67" t="str">
        <f t="shared" si="1"/>
        <v/>
      </c>
    </row>
    <row r="45" spans="1:9" ht="19.95" customHeight="1" x14ac:dyDescent="0.3">
      <c r="A45" s="56"/>
      <c r="B45" s="56"/>
      <c r="C45" s="57"/>
      <c r="D45" s="57"/>
      <c r="E45" s="57"/>
      <c r="F45" s="57"/>
      <c r="G45" s="57"/>
      <c r="H45" s="57"/>
      <c r="I45" s="63" t="str">
        <f t="shared" si="1"/>
        <v/>
      </c>
    </row>
    <row r="46" spans="1:9" ht="19.95" customHeight="1" x14ac:dyDescent="0.3">
      <c r="A46" s="56"/>
      <c r="B46" s="56"/>
      <c r="C46" s="68"/>
      <c r="D46" s="68"/>
      <c r="E46" s="68"/>
      <c r="F46" s="68"/>
      <c r="G46" s="68"/>
      <c r="H46" s="68"/>
      <c r="I46" s="67" t="str">
        <f t="shared" si="1"/>
        <v/>
      </c>
    </row>
    <row r="47" spans="1:9" ht="19.95" customHeight="1" x14ac:dyDescent="0.3">
      <c r="A47" s="56"/>
      <c r="B47" s="56"/>
      <c r="C47" s="57"/>
      <c r="D47" s="57"/>
      <c r="E47" s="57"/>
      <c r="F47" s="57"/>
      <c r="G47" s="57"/>
      <c r="H47" s="57"/>
      <c r="I47" s="63" t="str">
        <f t="shared" si="1"/>
        <v/>
      </c>
    </row>
    <row r="48" spans="1:9" ht="19.95" customHeight="1" x14ac:dyDescent="0.3">
      <c r="A48" s="56"/>
      <c r="B48" s="56"/>
      <c r="C48" s="68"/>
      <c r="D48" s="68"/>
      <c r="E48" s="68"/>
      <c r="F48" s="68"/>
      <c r="G48" s="68"/>
      <c r="H48" s="68"/>
      <c r="I48" s="67" t="str">
        <f t="shared" si="1"/>
        <v/>
      </c>
    </row>
    <row r="49" spans="1:9" ht="19.95" customHeight="1" x14ac:dyDescent="0.3">
      <c r="A49" s="56"/>
      <c r="B49" s="56"/>
      <c r="C49" s="57"/>
      <c r="D49" s="57"/>
      <c r="E49" s="57"/>
      <c r="F49" s="57"/>
      <c r="G49" s="57"/>
      <c r="H49" s="57"/>
      <c r="I49" s="63" t="str">
        <f t="shared" si="1"/>
        <v/>
      </c>
    </row>
    <row r="50" spans="1:9" ht="19.95" customHeight="1" x14ac:dyDescent="0.3">
      <c r="A50" s="56"/>
      <c r="B50" s="56"/>
      <c r="C50" s="68"/>
      <c r="D50" s="68"/>
      <c r="E50" s="68"/>
      <c r="F50" s="68"/>
      <c r="G50" s="68"/>
      <c r="H50" s="68"/>
      <c r="I50" s="67" t="str">
        <f t="shared" si="1"/>
        <v/>
      </c>
    </row>
    <row r="51" spans="1:9" ht="19.95" customHeight="1" x14ac:dyDescent="0.3">
      <c r="A51" s="56"/>
      <c r="B51" s="56"/>
      <c r="C51" s="57"/>
      <c r="D51" s="57"/>
      <c r="E51" s="57"/>
      <c r="F51" s="57"/>
      <c r="G51" s="57"/>
      <c r="H51" s="57"/>
      <c r="I51" s="63" t="str">
        <f t="shared" si="1"/>
        <v/>
      </c>
    </row>
    <row r="52" spans="1:9" ht="19.95" customHeight="1" x14ac:dyDescent="0.3">
      <c r="A52" s="56"/>
      <c r="B52" s="56"/>
      <c r="C52" s="68"/>
      <c r="D52" s="68"/>
      <c r="E52" s="68"/>
      <c r="F52" s="68"/>
      <c r="G52" s="68"/>
      <c r="H52" s="68"/>
      <c r="I52" s="67" t="str">
        <f t="shared" si="1"/>
        <v/>
      </c>
    </row>
    <row r="53" spans="1:9" ht="19.95" customHeight="1" x14ac:dyDescent="0.3">
      <c r="A53" s="56"/>
      <c r="B53" s="56"/>
      <c r="C53" s="57"/>
      <c r="D53" s="57"/>
      <c r="E53" s="57"/>
      <c r="F53" s="57"/>
      <c r="G53" s="57"/>
      <c r="H53" s="57"/>
      <c r="I53" s="63" t="str">
        <f t="shared" si="1"/>
        <v/>
      </c>
    </row>
    <row r="54" spans="1:9" ht="19.95" customHeight="1" x14ac:dyDescent="0.3">
      <c r="A54" s="56"/>
      <c r="B54" s="56"/>
      <c r="C54" s="68"/>
      <c r="D54" s="68"/>
      <c r="E54" s="68"/>
      <c r="F54" s="68"/>
      <c r="G54" s="68"/>
      <c r="H54" s="68"/>
      <c r="I54" s="67" t="str">
        <f t="shared" si="1"/>
        <v/>
      </c>
    </row>
    <row r="55" spans="1:9" ht="19.95" customHeight="1" x14ac:dyDescent="0.3">
      <c r="A55" s="56"/>
      <c r="B55" s="56"/>
      <c r="C55" s="57"/>
      <c r="D55" s="57"/>
      <c r="E55" s="57"/>
      <c r="F55" s="57"/>
      <c r="G55" s="57"/>
      <c r="H55" s="57"/>
      <c r="I55" s="63" t="str">
        <f t="shared" si="1"/>
        <v/>
      </c>
    </row>
    <row r="56" spans="1:9" ht="19.95" customHeight="1" x14ac:dyDescent="0.3">
      <c r="A56" s="56"/>
      <c r="B56" s="56"/>
      <c r="C56" s="68"/>
      <c r="D56" s="68"/>
      <c r="E56" s="68"/>
      <c r="F56" s="68"/>
      <c r="G56" s="68"/>
      <c r="H56" s="68"/>
      <c r="I56" s="67" t="str">
        <f t="shared" si="1"/>
        <v/>
      </c>
    </row>
    <row r="57" spans="1:9" ht="19.95" customHeight="1" x14ac:dyDescent="0.3">
      <c r="A57" s="56"/>
      <c r="B57" s="56"/>
      <c r="C57" s="57"/>
      <c r="D57" s="57"/>
      <c r="E57" s="57"/>
      <c r="F57" s="57"/>
      <c r="G57" s="57"/>
      <c r="H57" s="57"/>
      <c r="I57" s="63" t="str">
        <f t="shared" si="1"/>
        <v/>
      </c>
    </row>
    <row r="58" spans="1:9" ht="19.95" customHeight="1" x14ac:dyDescent="0.3">
      <c r="A58" s="56"/>
      <c r="B58" s="56"/>
      <c r="C58" s="68"/>
      <c r="D58" s="68"/>
      <c r="E58" s="68"/>
      <c r="F58" s="68"/>
      <c r="G58" s="68"/>
      <c r="H58" s="68"/>
      <c r="I58" s="67" t="str">
        <f t="shared" si="1"/>
        <v/>
      </c>
    </row>
    <row r="59" spans="1:9" ht="19.95" customHeight="1" x14ac:dyDescent="0.3">
      <c r="A59" s="56"/>
      <c r="B59" s="56"/>
      <c r="C59" s="57"/>
      <c r="D59" s="57"/>
      <c r="E59" s="57"/>
      <c r="F59" s="57"/>
      <c r="G59" s="57"/>
      <c r="H59" s="57"/>
      <c r="I59" s="63" t="str">
        <f t="shared" si="1"/>
        <v/>
      </c>
    </row>
    <row r="60" spans="1:9" ht="28.05" customHeight="1" x14ac:dyDescent="0.3">
      <c r="A60" s="131" t="s">
        <v>97</v>
      </c>
      <c r="B60" s="105"/>
      <c r="C60" s="105"/>
      <c r="D60" s="105"/>
      <c r="E60" s="105"/>
      <c r="F60" s="105"/>
      <c r="G60" s="69">
        <f>SUM(G5:G59)</f>
        <v>0</v>
      </c>
      <c r="H60" s="70"/>
      <c r="I60" s="69">
        <f>SUM(I5:I59)</f>
        <v>0</v>
      </c>
    </row>
  </sheetData>
  <mergeCells count="3">
    <mergeCell ref="A1:I1"/>
    <mergeCell ref="A2:I2"/>
    <mergeCell ref="A60:F60"/>
  </mergeCells>
  <dataValidations count="2">
    <dataValidation type="list" allowBlank="1" sqref="F5:F100" xr:uid="{00000000-0002-0000-0600-000000000000}">
      <formula1>"Retard cotisation,Absence réunion,Comportement,Autre"</formula1>
    </dataValidation>
    <dataValidation type="list" allowBlank="1" sqref="H5:H100" xr:uid="{00000000-0002-0000-0600-000001000000}">
      <formula1>"Oui,Non,Partiel"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3A6B"/>
  </sheetPr>
  <dimension ref="A1:J149"/>
  <sheetViews>
    <sheetView showGridLines="0" workbookViewId="0">
      <pane ySplit="4" topLeftCell="A39" activePane="bottomLeft" state="frozen"/>
      <selection pane="bottomLeft" activeCell="K13" sqref="K13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14" customWidth="1"/>
    <col min="4" max="4" width="22" customWidth="1"/>
    <col min="5" max="8" width="16" customWidth="1"/>
    <col min="9" max="9" width="18" customWidth="1"/>
    <col min="10" max="10" width="14" customWidth="1"/>
  </cols>
  <sheetData>
    <row r="1" spans="1:10" ht="40.049999999999997" customHeight="1" x14ac:dyDescent="0.3">
      <c r="A1" s="132" t="s">
        <v>160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x14ac:dyDescent="0.3">
      <c r="A2" s="118" t="s">
        <v>98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0" ht="25.05" customHeight="1" x14ac:dyDescent="0.3">
      <c r="A3" s="134" t="s">
        <v>99</v>
      </c>
      <c r="B3" s="105"/>
      <c r="C3" s="105"/>
      <c r="D3" s="133">
        <v>0</v>
      </c>
      <c r="E3" s="105"/>
      <c r="F3" s="105"/>
      <c r="G3" s="105"/>
      <c r="H3" s="135" t="s">
        <v>100</v>
      </c>
      <c r="I3" s="105"/>
      <c r="J3" s="105"/>
    </row>
    <row r="4" spans="1:10" ht="30" customHeight="1" x14ac:dyDescent="0.3">
      <c r="A4" s="23" t="s">
        <v>101</v>
      </c>
      <c r="B4" s="23" t="s">
        <v>93</v>
      </c>
      <c r="C4" s="23" t="s">
        <v>102</v>
      </c>
      <c r="D4" s="23" t="s">
        <v>14</v>
      </c>
      <c r="E4" s="23" t="s">
        <v>103</v>
      </c>
      <c r="F4" s="23" t="s">
        <v>104</v>
      </c>
      <c r="G4" s="23" t="s">
        <v>105</v>
      </c>
      <c r="H4" s="23" t="s">
        <v>106</v>
      </c>
      <c r="I4" s="23" t="s">
        <v>107</v>
      </c>
      <c r="J4" s="23" t="s">
        <v>108</v>
      </c>
    </row>
    <row r="5" spans="1:10" ht="22.05" customHeight="1" x14ac:dyDescent="0.3">
      <c r="A5" s="17">
        <v>1</v>
      </c>
      <c r="B5" s="71" t="s">
        <v>51</v>
      </c>
      <c r="C5" s="71" t="s">
        <v>109</v>
      </c>
      <c r="D5" s="72" t="s">
        <v>110</v>
      </c>
      <c r="E5" s="73">
        <v>14500</v>
      </c>
      <c r="F5" s="74">
        <v>0</v>
      </c>
      <c r="G5" s="75">
        <f>D$3+E5-F5</f>
        <v>14500</v>
      </c>
      <c r="H5" s="72" t="s">
        <v>111</v>
      </c>
      <c r="I5" s="72" t="s">
        <v>18</v>
      </c>
    </row>
    <row r="6" spans="1:10" ht="22.05" customHeight="1" x14ac:dyDescent="0.3">
      <c r="A6" s="17">
        <v>2</v>
      </c>
      <c r="B6" s="71" t="s">
        <v>112</v>
      </c>
      <c r="C6" s="71" t="s">
        <v>109</v>
      </c>
      <c r="D6" s="72" t="s">
        <v>113</v>
      </c>
      <c r="E6" s="73">
        <v>22000</v>
      </c>
      <c r="F6" s="74">
        <v>0</v>
      </c>
      <c r="G6" s="75">
        <f t="shared" ref="G6:G12" si="0">G5+E6-F6</f>
        <v>36500</v>
      </c>
      <c r="H6" s="72" t="s">
        <v>111</v>
      </c>
      <c r="I6" s="72" t="s">
        <v>18</v>
      </c>
    </row>
    <row r="7" spans="1:10" ht="22.05" customHeight="1" x14ac:dyDescent="0.3">
      <c r="A7" s="17">
        <v>3</v>
      </c>
      <c r="B7" s="71" t="s">
        <v>114</v>
      </c>
      <c r="C7" s="71" t="s">
        <v>109</v>
      </c>
      <c r="D7" s="72" t="s">
        <v>115</v>
      </c>
      <c r="E7" s="73">
        <v>22000</v>
      </c>
      <c r="F7" s="74">
        <v>0</v>
      </c>
      <c r="G7" s="75">
        <f t="shared" si="0"/>
        <v>58500</v>
      </c>
      <c r="H7" s="72" t="s">
        <v>111</v>
      </c>
      <c r="I7" s="72" t="s">
        <v>18</v>
      </c>
    </row>
    <row r="8" spans="1:10" ht="22.05" customHeight="1" x14ac:dyDescent="0.3">
      <c r="A8" s="17">
        <v>4</v>
      </c>
      <c r="B8" s="71" t="s">
        <v>116</v>
      </c>
      <c r="C8" s="71" t="s">
        <v>109</v>
      </c>
      <c r="D8" s="72" t="s">
        <v>117</v>
      </c>
      <c r="E8" s="73">
        <v>22000</v>
      </c>
      <c r="F8" s="74">
        <v>0</v>
      </c>
      <c r="G8" s="75">
        <f t="shared" si="0"/>
        <v>80500</v>
      </c>
      <c r="H8" s="72" t="s">
        <v>111</v>
      </c>
      <c r="I8" s="72" t="s">
        <v>18</v>
      </c>
    </row>
    <row r="9" spans="1:10" ht="22.05" customHeight="1" x14ac:dyDescent="0.3">
      <c r="A9" s="17">
        <v>5</v>
      </c>
      <c r="B9" s="76" t="s">
        <v>51</v>
      </c>
      <c r="C9" s="76" t="s">
        <v>118</v>
      </c>
      <c r="D9" s="77" t="s">
        <v>119</v>
      </c>
      <c r="E9" s="78">
        <v>0</v>
      </c>
      <c r="F9" s="79">
        <v>30850</v>
      </c>
      <c r="G9" s="80">
        <f t="shared" si="0"/>
        <v>49650</v>
      </c>
      <c r="H9" s="77" t="s">
        <v>120</v>
      </c>
      <c r="I9" s="77" t="s">
        <v>18</v>
      </c>
    </row>
    <row r="10" spans="1:10" ht="22.05" customHeight="1" x14ac:dyDescent="0.3">
      <c r="A10" s="17">
        <v>6</v>
      </c>
      <c r="B10" s="76" t="s">
        <v>112</v>
      </c>
      <c r="C10" s="76" t="s">
        <v>118</v>
      </c>
      <c r="D10" s="77" t="s">
        <v>121</v>
      </c>
      <c r="E10" s="78">
        <v>0</v>
      </c>
      <c r="F10" s="79">
        <v>15100</v>
      </c>
      <c r="G10" s="80">
        <f t="shared" si="0"/>
        <v>34550</v>
      </c>
      <c r="H10" s="77" t="s">
        <v>120</v>
      </c>
      <c r="I10" s="77" t="s">
        <v>18</v>
      </c>
    </row>
    <row r="11" spans="1:10" ht="22.05" customHeight="1" x14ac:dyDescent="0.3">
      <c r="A11" s="17">
        <v>7</v>
      </c>
      <c r="B11" s="76" t="s">
        <v>114</v>
      </c>
      <c r="C11" s="76" t="s">
        <v>118</v>
      </c>
      <c r="D11" s="77" t="s">
        <v>122</v>
      </c>
      <c r="E11" s="78">
        <v>0</v>
      </c>
      <c r="F11" s="79">
        <v>4000</v>
      </c>
      <c r="G11" s="80">
        <f t="shared" si="0"/>
        <v>30550</v>
      </c>
      <c r="H11" s="77" t="s">
        <v>120</v>
      </c>
      <c r="I11" s="77" t="s">
        <v>18</v>
      </c>
    </row>
    <row r="12" spans="1:10" ht="22.05" customHeight="1" x14ac:dyDescent="0.3">
      <c r="A12" s="17">
        <v>8</v>
      </c>
      <c r="B12" s="76" t="s">
        <v>123</v>
      </c>
      <c r="C12" s="76" t="s">
        <v>118</v>
      </c>
      <c r="D12" s="77" t="s">
        <v>124</v>
      </c>
      <c r="E12" s="78">
        <v>0</v>
      </c>
      <c r="F12" s="79">
        <v>20100</v>
      </c>
      <c r="G12" s="80">
        <f t="shared" si="0"/>
        <v>10450</v>
      </c>
      <c r="H12" s="77" t="s">
        <v>120</v>
      </c>
      <c r="I12" s="77" t="s">
        <v>18</v>
      </c>
    </row>
    <row r="13" spans="1:10" ht="22.05" customHeight="1" x14ac:dyDescent="0.3">
      <c r="A13" s="17"/>
      <c r="B13" s="76"/>
      <c r="C13" s="76"/>
      <c r="D13" s="77"/>
      <c r="E13" s="78"/>
      <c r="F13" s="79"/>
      <c r="G13" s="80"/>
      <c r="H13" s="77"/>
      <c r="I13" s="77"/>
    </row>
    <row r="14" spans="1:10" ht="22.05" customHeight="1" x14ac:dyDescent="0.3">
      <c r="A14" s="17"/>
      <c r="B14" s="71"/>
      <c r="C14" s="71"/>
      <c r="D14" s="72"/>
      <c r="E14" s="73"/>
      <c r="F14" s="74"/>
      <c r="G14" s="75"/>
      <c r="H14" s="72"/>
      <c r="I14" s="72"/>
    </row>
    <row r="15" spans="1:10" ht="19.95" customHeight="1" x14ac:dyDescent="0.3">
      <c r="A15" s="56"/>
      <c r="B15" s="57"/>
      <c r="C15" s="57"/>
      <c r="D15" s="57"/>
      <c r="E15" s="57"/>
      <c r="F15" s="57"/>
      <c r="G15" s="81"/>
      <c r="H15" s="57"/>
      <c r="I15" s="57"/>
      <c r="J15" s="57"/>
    </row>
    <row r="16" spans="1:10" ht="19.95" customHeight="1" x14ac:dyDescent="0.3">
      <c r="A16" s="56"/>
      <c r="B16" s="82"/>
      <c r="C16" s="82"/>
      <c r="D16" s="82"/>
      <c r="E16" s="82"/>
      <c r="F16" s="82"/>
      <c r="G16" s="83"/>
      <c r="H16" s="82"/>
      <c r="I16" s="82"/>
      <c r="J16" s="82"/>
    </row>
    <row r="17" spans="1:10" ht="19.95" customHeight="1" x14ac:dyDescent="0.3">
      <c r="A17" s="56"/>
      <c r="B17" s="57"/>
      <c r="C17" s="57"/>
      <c r="D17" s="57"/>
      <c r="E17" s="57"/>
      <c r="F17" s="57"/>
      <c r="G17" s="81" t="str">
        <f t="shared" ref="G17:G46" si="1">IF(AND(E17=0,F17=0),"",G16+E17-F17)</f>
        <v/>
      </c>
      <c r="H17" s="57"/>
      <c r="I17" s="57"/>
      <c r="J17" s="57"/>
    </row>
    <row r="18" spans="1:10" ht="19.95" customHeight="1" x14ac:dyDescent="0.3">
      <c r="A18" s="56"/>
      <c r="B18" s="82"/>
      <c r="C18" s="82"/>
      <c r="D18" s="82"/>
      <c r="E18" s="82"/>
      <c r="F18" s="82"/>
      <c r="G18" s="83" t="str">
        <f t="shared" si="1"/>
        <v/>
      </c>
      <c r="H18" s="82"/>
      <c r="I18" s="82"/>
      <c r="J18" s="82"/>
    </row>
    <row r="19" spans="1:10" ht="19.95" customHeight="1" x14ac:dyDescent="0.3">
      <c r="A19" s="56"/>
      <c r="B19" s="57"/>
      <c r="C19" s="57"/>
      <c r="D19" s="57"/>
      <c r="E19" s="57"/>
      <c r="F19" s="57"/>
      <c r="G19" s="81" t="str">
        <f t="shared" si="1"/>
        <v/>
      </c>
      <c r="H19" s="57"/>
      <c r="I19" s="57"/>
      <c r="J19" s="57"/>
    </row>
    <row r="20" spans="1:10" ht="19.95" customHeight="1" x14ac:dyDescent="0.3">
      <c r="A20" s="56"/>
      <c r="B20" s="82"/>
      <c r="C20" s="82"/>
      <c r="D20" s="82"/>
      <c r="E20" s="82"/>
      <c r="F20" s="82"/>
      <c r="G20" s="83" t="str">
        <f t="shared" si="1"/>
        <v/>
      </c>
      <c r="H20" s="82"/>
      <c r="I20" s="82"/>
      <c r="J20" s="82"/>
    </row>
    <row r="21" spans="1:10" ht="19.95" customHeight="1" x14ac:dyDescent="0.3">
      <c r="A21" s="56"/>
      <c r="B21" s="57"/>
      <c r="C21" s="57"/>
      <c r="D21" s="57"/>
      <c r="E21" s="57"/>
      <c r="F21" s="57"/>
      <c r="G21" s="81" t="str">
        <f t="shared" si="1"/>
        <v/>
      </c>
      <c r="H21" s="57"/>
      <c r="I21" s="57"/>
      <c r="J21" s="57"/>
    </row>
    <row r="22" spans="1:10" ht="19.95" customHeight="1" x14ac:dyDescent="0.3">
      <c r="A22" s="56"/>
      <c r="B22" s="82"/>
      <c r="C22" s="82"/>
      <c r="D22" s="82"/>
      <c r="E22" s="82"/>
      <c r="F22" s="82"/>
      <c r="G22" s="83" t="str">
        <f t="shared" si="1"/>
        <v/>
      </c>
      <c r="H22" s="82"/>
      <c r="I22" s="82"/>
      <c r="J22" s="82"/>
    </row>
    <row r="23" spans="1:10" ht="19.95" customHeight="1" x14ac:dyDescent="0.3">
      <c r="A23" s="56"/>
      <c r="B23" s="57"/>
      <c r="C23" s="57"/>
      <c r="D23" s="57"/>
      <c r="E23" s="57"/>
      <c r="F23" s="57"/>
      <c r="G23" s="81" t="str">
        <f t="shared" si="1"/>
        <v/>
      </c>
      <c r="H23" s="57"/>
      <c r="I23" s="57"/>
      <c r="J23" s="57"/>
    </row>
    <row r="24" spans="1:10" ht="19.95" customHeight="1" x14ac:dyDescent="0.3">
      <c r="A24" s="56"/>
      <c r="B24" s="82"/>
      <c r="C24" s="82"/>
      <c r="D24" s="82"/>
      <c r="E24" s="82"/>
      <c r="F24" s="82"/>
      <c r="G24" s="83" t="str">
        <f t="shared" si="1"/>
        <v/>
      </c>
      <c r="H24" s="82"/>
      <c r="I24" s="82"/>
      <c r="J24" s="82"/>
    </row>
    <row r="25" spans="1:10" ht="19.95" customHeight="1" x14ac:dyDescent="0.3">
      <c r="A25" s="56"/>
      <c r="B25" s="57"/>
      <c r="C25" s="57"/>
      <c r="D25" s="57"/>
      <c r="E25" s="57"/>
      <c r="F25" s="57"/>
      <c r="G25" s="81" t="str">
        <f t="shared" si="1"/>
        <v/>
      </c>
      <c r="H25" s="57"/>
      <c r="I25" s="57"/>
      <c r="J25" s="57"/>
    </row>
    <row r="26" spans="1:10" ht="19.95" customHeight="1" x14ac:dyDescent="0.3">
      <c r="A26" s="56"/>
      <c r="B26" s="82"/>
      <c r="C26" s="82"/>
      <c r="D26" s="82"/>
      <c r="E26" s="82"/>
      <c r="F26" s="82"/>
      <c r="G26" s="83" t="str">
        <f t="shared" si="1"/>
        <v/>
      </c>
      <c r="H26" s="82"/>
      <c r="I26" s="82"/>
      <c r="J26" s="82"/>
    </row>
    <row r="27" spans="1:10" ht="19.95" customHeight="1" x14ac:dyDescent="0.3">
      <c r="A27" s="56"/>
      <c r="B27" s="57"/>
      <c r="C27" s="57"/>
      <c r="D27" s="57"/>
      <c r="E27" s="57"/>
      <c r="F27" s="57"/>
      <c r="G27" s="81" t="str">
        <f t="shared" si="1"/>
        <v/>
      </c>
      <c r="H27" s="57"/>
      <c r="I27" s="57"/>
      <c r="J27" s="57"/>
    </row>
    <row r="28" spans="1:10" ht="19.95" customHeight="1" x14ac:dyDescent="0.3">
      <c r="A28" s="56"/>
      <c r="B28" s="82"/>
      <c r="C28" s="82"/>
      <c r="D28" s="82"/>
      <c r="E28" s="82"/>
      <c r="F28" s="82"/>
      <c r="G28" s="83" t="str">
        <f t="shared" si="1"/>
        <v/>
      </c>
      <c r="H28" s="82"/>
      <c r="I28" s="82"/>
      <c r="J28" s="82"/>
    </row>
    <row r="29" spans="1:10" ht="19.95" customHeight="1" x14ac:dyDescent="0.3">
      <c r="A29" s="56"/>
      <c r="B29" s="57"/>
      <c r="C29" s="57"/>
      <c r="D29" s="57"/>
      <c r="E29" s="57"/>
      <c r="F29" s="57"/>
      <c r="G29" s="81" t="str">
        <f t="shared" si="1"/>
        <v/>
      </c>
      <c r="H29" s="57"/>
      <c r="I29" s="57"/>
      <c r="J29" s="57"/>
    </row>
    <row r="30" spans="1:10" ht="19.95" customHeight="1" x14ac:dyDescent="0.3">
      <c r="A30" s="56"/>
      <c r="B30" s="82"/>
      <c r="C30" s="82"/>
      <c r="D30" s="82"/>
      <c r="E30" s="82"/>
      <c r="F30" s="82"/>
      <c r="G30" s="83" t="str">
        <f t="shared" si="1"/>
        <v/>
      </c>
      <c r="H30" s="82"/>
      <c r="I30" s="82"/>
      <c r="J30" s="82"/>
    </row>
    <row r="31" spans="1:10" ht="19.95" customHeight="1" x14ac:dyDescent="0.3">
      <c r="A31" s="56"/>
      <c r="B31" s="57"/>
      <c r="C31" s="57"/>
      <c r="D31" s="57"/>
      <c r="E31" s="57"/>
      <c r="F31" s="57"/>
      <c r="G31" s="81" t="str">
        <f t="shared" si="1"/>
        <v/>
      </c>
      <c r="H31" s="57"/>
      <c r="I31" s="57"/>
      <c r="J31" s="57"/>
    </row>
    <row r="32" spans="1:10" ht="19.95" customHeight="1" x14ac:dyDescent="0.3">
      <c r="A32" s="56"/>
      <c r="B32" s="82"/>
      <c r="C32" s="82"/>
      <c r="D32" s="82"/>
      <c r="E32" s="82"/>
      <c r="F32" s="82"/>
      <c r="G32" s="83" t="str">
        <f t="shared" si="1"/>
        <v/>
      </c>
      <c r="H32" s="82"/>
      <c r="I32" s="82"/>
      <c r="J32" s="82"/>
    </row>
    <row r="33" spans="1:10" ht="19.95" customHeight="1" x14ac:dyDescent="0.3">
      <c r="A33" s="56"/>
      <c r="B33" s="57"/>
      <c r="C33" s="57"/>
      <c r="D33" s="57"/>
      <c r="E33" s="57"/>
      <c r="F33" s="57"/>
      <c r="G33" s="81" t="str">
        <f t="shared" si="1"/>
        <v/>
      </c>
      <c r="H33" s="57"/>
      <c r="I33" s="57"/>
      <c r="J33" s="57"/>
    </row>
    <row r="34" spans="1:10" ht="19.95" customHeight="1" x14ac:dyDescent="0.3">
      <c r="A34" s="56"/>
      <c r="B34" s="82"/>
      <c r="C34" s="82"/>
      <c r="D34" s="82"/>
      <c r="E34" s="82"/>
      <c r="F34" s="82"/>
      <c r="G34" s="83" t="str">
        <f t="shared" si="1"/>
        <v/>
      </c>
      <c r="H34" s="82"/>
      <c r="I34" s="82"/>
      <c r="J34" s="82"/>
    </row>
    <row r="35" spans="1:10" ht="19.95" customHeight="1" x14ac:dyDescent="0.3">
      <c r="A35" s="56"/>
      <c r="B35" s="57"/>
      <c r="C35" s="57"/>
      <c r="D35" s="57"/>
      <c r="E35" s="57"/>
      <c r="F35" s="57"/>
      <c r="G35" s="81" t="str">
        <f t="shared" si="1"/>
        <v/>
      </c>
      <c r="H35" s="57"/>
      <c r="I35" s="57"/>
      <c r="J35" s="57"/>
    </row>
    <row r="36" spans="1:10" ht="19.95" customHeight="1" x14ac:dyDescent="0.3">
      <c r="A36" s="56"/>
      <c r="B36" s="82"/>
      <c r="C36" s="82"/>
      <c r="D36" s="82"/>
      <c r="E36" s="82"/>
      <c r="F36" s="82"/>
      <c r="G36" s="83" t="str">
        <f t="shared" si="1"/>
        <v/>
      </c>
      <c r="H36" s="82"/>
      <c r="I36" s="82"/>
      <c r="J36" s="82"/>
    </row>
    <row r="37" spans="1:10" ht="19.95" customHeight="1" x14ac:dyDescent="0.3">
      <c r="A37" s="56"/>
      <c r="B37" s="57"/>
      <c r="C37" s="57"/>
      <c r="D37" s="57"/>
      <c r="E37" s="57"/>
      <c r="F37" s="57"/>
      <c r="G37" s="81" t="str">
        <f t="shared" si="1"/>
        <v/>
      </c>
      <c r="H37" s="57"/>
      <c r="I37" s="57"/>
      <c r="J37" s="57"/>
    </row>
    <row r="38" spans="1:10" ht="19.95" customHeight="1" x14ac:dyDescent="0.3">
      <c r="A38" s="56"/>
      <c r="B38" s="82"/>
      <c r="C38" s="82"/>
      <c r="D38" s="82"/>
      <c r="E38" s="82"/>
      <c r="F38" s="82"/>
      <c r="G38" s="83" t="str">
        <f t="shared" si="1"/>
        <v/>
      </c>
      <c r="H38" s="82"/>
      <c r="I38" s="82"/>
      <c r="J38" s="82"/>
    </row>
    <row r="39" spans="1:10" ht="19.95" customHeight="1" x14ac:dyDescent="0.3">
      <c r="A39" s="56"/>
      <c r="B39" s="57"/>
      <c r="C39" s="57"/>
      <c r="D39" s="57"/>
      <c r="E39" s="57"/>
      <c r="F39" s="57"/>
      <c r="G39" s="81" t="str">
        <f t="shared" si="1"/>
        <v/>
      </c>
      <c r="H39" s="57"/>
      <c r="I39" s="57"/>
      <c r="J39" s="57"/>
    </row>
    <row r="40" spans="1:10" ht="19.95" customHeight="1" x14ac:dyDescent="0.3">
      <c r="A40" s="56"/>
      <c r="B40" s="82"/>
      <c r="C40" s="82"/>
      <c r="D40" s="82"/>
      <c r="E40" s="82"/>
      <c r="F40" s="82"/>
      <c r="G40" s="83" t="str">
        <f t="shared" si="1"/>
        <v/>
      </c>
      <c r="H40" s="82"/>
      <c r="I40" s="82"/>
      <c r="J40" s="82"/>
    </row>
    <row r="41" spans="1:10" ht="19.95" customHeight="1" x14ac:dyDescent="0.3">
      <c r="A41" s="56"/>
      <c r="B41" s="57"/>
      <c r="C41" s="57"/>
      <c r="D41" s="57"/>
      <c r="E41" s="57"/>
      <c r="F41" s="57"/>
      <c r="G41" s="81" t="str">
        <f t="shared" si="1"/>
        <v/>
      </c>
      <c r="H41" s="57"/>
      <c r="I41" s="57"/>
      <c r="J41" s="57"/>
    </row>
    <row r="42" spans="1:10" ht="19.95" customHeight="1" x14ac:dyDescent="0.3">
      <c r="A42" s="56"/>
      <c r="B42" s="82"/>
      <c r="C42" s="82"/>
      <c r="D42" s="82"/>
      <c r="E42" s="82"/>
      <c r="F42" s="82"/>
      <c r="G42" s="83" t="str">
        <f t="shared" si="1"/>
        <v/>
      </c>
      <c r="H42" s="82"/>
      <c r="I42" s="82"/>
      <c r="J42" s="82"/>
    </row>
    <row r="43" spans="1:10" ht="19.95" customHeight="1" x14ac:dyDescent="0.3">
      <c r="A43" s="56"/>
      <c r="B43" s="57"/>
      <c r="C43" s="57"/>
      <c r="D43" s="57"/>
      <c r="E43" s="57"/>
      <c r="F43" s="57"/>
      <c r="G43" s="81" t="str">
        <f t="shared" si="1"/>
        <v/>
      </c>
      <c r="H43" s="57"/>
      <c r="I43" s="57"/>
      <c r="J43" s="57"/>
    </row>
    <row r="44" spans="1:10" ht="19.95" customHeight="1" x14ac:dyDescent="0.3">
      <c r="A44" s="56"/>
      <c r="B44" s="82"/>
      <c r="C44" s="82"/>
      <c r="D44" s="82"/>
      <c r="E44" s="82"/>
      <c r="F44" s="82"/>
      <c r="G44" s="83" t="str">
        <f t="shared" si="1"/>
        <v/>
      </c>
      <c r="H44" s="82"/>
      <c r="I44" s="82"/>
      <c r="J44" s="82"/>
    </row>
    <row r="45" spans="1:10" ht="19.95" customHeight="1" x14ac:dyDescent="0.3">
      <c r="A45" s="56"/>
      <c r="B45" s="57"/>
      <c r="C45" s="57"/>
      <c r="D45" s="57"/>
      <c r="E45" s="57"/>
      <c r="F45" s="57"/>
      <c r="G45" s="81" t="str">
        <f t="shared" si="1"/>
        <v/>
      </c>
      <c r="H45" s="57"/>
      <c r="I45" s="57"/>
      <c r="J45" s="57"/>
    </row>
    <row r="46" spans="1:10" ht="19.95" customHeight="1" x14ac:dyDescent="0.3">
      <c r="A46" s="56"/>
      <c r="B46" s="82"/>
      <c r="C46" s="82"/>
      <c r="D46" s="82"/>
      <c r="E46" s="82"/>
      <c r="F46" s="82"/>
      <c r="G46" s="83" t="str">
        <f t="shared" si="1"/>
        <v/>
      </c>
      <c r="H46" s="82"/>
      <c r="I46" s="82"/>
      <c r="J46" s="82"/>
    </row>
    <row r="47" spans="1:10" ht="19.95" customHeight="1" x14ac:dyDescent="0.3">
      <c r="A47" s="56"/>
      <c r="B47" s="57"/>
      <c r="C47" s="57"/>
      <c r="D47" s="57"/>
      <c r="E47" s="57"/>
      <c r="F47" s="57"/>
      <c r="G47" s="81" t="str">
        <f t="shared" ref="G47:G78" si="2">IF(AND(E47=0,F47=0),"",G46+E47-F47)</f>
        <v/>
      </c>
      <c r="H47" s="57"/>
      <c r="I47" s="57"/>
      <c r="J47" s="57"/>
    </row>
    <row r="48" spans="1:10" ht="19.95" customHeight="1" x14ac:dyDescent="0.3">
      <c r="A48" s="56"/>
      <c r="B48" s="82"/>
      <c r="C48" s="82"/>
      <c r="D48" s="82"/>
      <c r="E48" s="82"/>
      <c r="F48" s="82"/>
      <c r="G48" s="83" t="str">
        <f t="shared" si="2"/>
        <v/>
      </c>
      <c r="H48" s="82"/>
      <c r="I48" s="82"/>
      <c r="J48" s="82"/>
    </row>
    <row r="49" spans="1:10" ht="19.95" customHeight="1" x14ac:dyDescent="0.3">
      <c r="A49" s="56"/>
      <c r="B49" s="57"/>
      <c r="C49" s="57"/>
      <c r="D49" s="57"/>
      <c r="E49" s="57"/>
      <c r="F49" s="57"/>
      <c r="G49" s="81" t="str">
        <f t="shared" si="2"/>
        <v/>
      </c>
      <c r="H49" s="57"/>
      <c r="I49" s="57"/>
      <c r="J49" s="57"/>
    </row>
    <row r="50" spans="1:10" ht="19.95" customHeight="1" x14ac:dyDescent="0.3">
      <c r="A50" s="56"/>
      <c r="B50" s="82"/>
      <c r="C50" s="82"/>
      <c r="D50" s="82"/>
      <c r="E50" s="82"/>
      <c r="F50" s="82"/>
      <c r="G50" s="83" t="str">
        <f t="shared" si="2"/>
        <v/>
      </c>
      <c r="H50" s="82"/>
      <c r="I50" s="82"/>
      <c r="J50" s="82"/>
    </row>
    <row r="51" spans="1:10" ht="19.95" customHeight="1" x14ac:dyDescent="0.3">
      <c r="A51" s="56"/>
      <c r="B51" s="57"/>
      <c r="C51" s="57"/>
      <c r="D51" s="57"/>
      <c r="E51" s="57"/>
      <c r="F51" s="57"/>
      <c r="G51" s="81" t="str">
        <f t="shared" si="2"/>
        <v/>
      </c>
      <c r="H51" s="57"/>
      <c r="I51" s="57"/>
      <c r="J51" s="57"/>
    </row>
    <row r="52" spans="1:10" ht="19.95" customHeight="1" x14ac:dyDescent="0.3">
      <c r="A52" s="56"/>
      <c r="B52" s="82"/>
      <c r="C52" s="82"/>
      <c r="D52" s="82"/>
      <c r="E52" s="82"/>
      <c r="F52" s="82"/>
      <c r="G52" s="83" t="str">
        <f t="shared" si="2"/>
        <v/>
      </c>
      <c r="H52" s="82"/>
      <c r="I52" s="82"/>
      <c r="J52" s="82"/>
    </row>
    <row r="53" spans="1:10" ht="19.95" customHeight="1" x14ac:dyDescent="0.3">
      <c r="A53" s="56"/>
      <c r="B53" s="57"/>
      <c r="C53" s="57"/>
      <c r="D53" s="57"/>
      <c r="E53" s="57"/>
      <c r="F53" s="57"/>
      <c r="G53" s="81" t="str">
        <f t="shared" si="2"/>
        <v/>
      </c>
      <c r="H53" s="57"/>
      <c r="I53" s="57"/>
      <c r="J53" s="57"/>
    </row>
    <row r="54" spans="1:10" ht="19.95" customHeight="1" x14ac:dyDescent="0.3">
      <c r="A54" s="56"/>
      <c r="B54" s="82"/>
      <c r="C54" s="82"/>
      <c r="D54" s="82"/>
      <c r="E54" s="82"/>
      <c r="F54" s="82"/>
      <c r="G54" s="83" t="str">
        <f t="shared" si="2"/>
        <v/>
      </c>
      <c r="H54" s="82"/>
      <c r="I54" s="82"/>
      <c r="J54" s="82"/>
    </row>
    <row r="55" spans="1:10" ht="19.95" customHeight="1" x14ac:dyDescent="0.3">
      <c r="A55" s="56"/>
      <c r="B55" s="57"/>
      <c r="C55" s="57"/>
      <c r="D55" s="57"/>
      <c r="E55" s="57"/>
      <c r="F55" s="57"/>
      <c r="G55" s="81" t="str">
        <f t="shared" si="2"/>
        <v/>
      </c>
      <c r="H55" s="57"/>
      <c r="I55" s="57"/>
      <c r="J55" s="57"/>
    </row>
    <row r="56" spans="1:10" ht="19.95" customHeight="1" x14ac:dyDescent="0.3">
      <c r="A56" s="56"/>
      <c r="B56" s="82"/>
      <c r="C56" s="82"/>
      <c r="D56" s="82"/>
      <c r="E56" s="82"/>
      <c r="F56" s="82"/>
      <c r="G56" s="83" t="str">
        <f t="shared" si="2"/>
        <v/>
      </c>
      <c r="H56" s="82"/>
      <c r="I56" s="82"/>
      <c r="J56" s="82"/>
    </row>
    <row r="57" spans="1:10" ht="19.95" customHeight="1" x14ac:dyDescent="0.3">
      <c r="A57" s="56"/>
      <c r="B57" s="57"/>
      <c r="C57" s="57"/>
      <c r="D57" s="57"/>
      <c r="E57" s="57"/>
      <c r="F57" s="57"/>
      <c r="G57" s="81" t="str">
        <f t="shared" si="2"/>
        <v/>
      </c>
      <c r="H57" s="57"/>
      <c r="I57" s="57"/>
      <c r="J57" s="57"/>
    </row>
    <row r="58" spans="1:10" ht="19.95" customHeight="1" x14ac:dyDescent="0.3">
      <c r="A58" s="56"/>
      <c r="B58" s="82"/>
      <c r="C58" s="82"/>
      <c r="D58" s="82"/>
      <c r="E58" s="82"/>
      <c r="F58" s="82"/>
      <c r="G58" s="83" t="str">
        <f t="shared" si="2"/>
        <v/>
      </c>
      <c r="H58" s="82"/>
      <c r="I58" s="82"/>
      <c r="J58" s="82"/>
    </row>
    <row r="59" spans="1:10" ht="19.95" customHeight="1" x14ac:dyDescent="0.3">
      <c r="A59" s="56"/>
      <c r="B59" s="57"/>
      <c r="C59" s="57"/>
      <c r="D59" s="57"/>
      <c r="E59" s="57"/>
      <c r="F59" s="57"/>
      <c r="G59" s="81" t="str">
        <f t="shared" si="2"/>
        <v/>
      </c>
      <c r="H59" s="57"/>
      <c r="I59" s="57"/>
      <c r="J59" s="57"/>
    </row>
    <row r="60" spans="1:10" ht="19.95" customHeight="1" x14ac:dyDescent="0.3">
      <c r="A60" s="56"/>
      <c r="B60" s="82"/>
      <c r="C60" s="82"/>
      <c r="D60" s="82"/>
      <c r="E60" s="82"/>
      <c r="F60" s="82"/>
      <c r="G60" s="83" t="str">
        <f t="shared" si="2"/>
        <v/>
      </c>
      <c r="H60" s="82"/>
      <c r="I60" s="82"/>
      <c r="J60" s="82"/>
    </row>
    <row r="61" spans="1:10" ht="19.95" customHeight="1" x14ac:dyDescent="0.3">
      <c r="A61" s="56"/>
      <c r="B61" s="57"/>
      <c r="C61" s="57"/>
      <c r="D61" s="57"/>
      <c r="E61" s="57"/>
      <c r="F61" s="57"/>
      <c r="G61" s="81" t="str">
        <f t="shared" si="2"/>
        <v/>
      </c>
      <c r="H61" s="57"/>
      <c r="I61" s="57"/>
      <c r="J61" s="57"/>
    </row>
    <row r="62" spans="1:10" ht="19.95" customHeight="1" x14ac:dyDescent="0.3">
      <c r="A62" s="56"/>
      <c r="B62" s="82"/>
      <c r="C62" s="82"/>
      <c r="D62" s="82"/>
      <c r="E62" s="82"/>
      <c r="F62" s="82"/>
      <c r="G62" s="83" t="str">
        <f t="shared" si="2"/>
        <v/>
      </c>
      <c r="H62" s="82"/>
      <c r="I62" s="82"/>
      <c r="J62" s="82"/>
    </row>
    <row r="63" spans="1:10" ht="19.95" customHeight="1" x14ac:dyDescent="0.3">
      <c r="A63" s="56"/>
      <c r="B63" s="57"/>
      <c r="C63" s="57"/>
      <c r="D63" s="57"/>
      <c r="E63" s="57"/>
      <c r="F63" s="57"/>
      <c r="G63" s="81" t="str">
        <f t="shared" si="2"/>
        <v/>
      </c>
      <c r="H63" s="57"/>
      <c r="I63" s="57"/>
      <c r="J63" s="57"/>
    </row>
    <row r="64" spans="1:10" ht="19.95" customHeight="1" x14ac:dyDescent="0.3">
      <c r="A64" s="56"/>
      <c r="B64" s="82"/>
      <c r="C64" s="82"/>
      <c r="D64" s="82"/>
      <c r="E64" s="82"/>
      <c r="F64" s="82"/>
      <c r="G64" s="83" t="str">
        <f t="shared" si="2"/>
        <v/>
      </c>
      <c r="H64" s="82"/>
      <c r="I64" s="82"/>
      <c r="J64" s="82"/>
    </row>
    <row r="65" spans="1:10" ht="19.95" customHeight="1" x14ac:dyDescent="0.3">
      <c r="A65" s="56"/>
      <c r="B65" s="57"/>
      <c r="C65" s="57"/>
      <c r="D65" s="57"/>
      <c r="E65" s="57"/>
      <c r="F65" s="57"/>
      <c r="G65" s="81" t="str">
        <f t="shared" si="2"/>
        <v/>
      </c>
      <c r="H65" s="57"/>
      <c r="I65" s="57"/>
      <c r="J65" s="57"/>
    </row>
    <row r="66" spans="1:10" ht="19.95" customHeight="1" x14ac:dyDescent="0.3">
      <c r="A66" s="56"/>
      <c r="B66" s="82"/>
      <c r="C66" s="82"/>
      <c r="D66" s="82"/>
      <c r="E66" s="82"/>
      <c r="F66" s="82"/>
      <c r="G66" s="83" t="str">
        <f t="shared" si="2"/>
        <v/>
      </c>
      <c r="H66" s="82"/>
      <c r="I66" s="82"/>
      <c r="J66" s="82"/>
    </row>
    <row r="67" spans="1:10" ht="19.95" customHeight="1" x14ac:dyDescent="0.3">
      <c r="A67" s="56"/>
      <c r="B67" s="57"/>
      <c r="C67" s="57"/>
      <c r="D67" s="57"/>
      <c r="E67" s="57"/>
      <c r="F67" s="57"/>
      <c r="G67" s="81" t="str">
        <f t="shared" si="2"/>
        <v/>
      </c>
      <c r="H67" s="57"/>
      <c r="I67" s="57"/>
      <c r="J67" s="57"/>
    </row>
    <row r="68" spans="1:10" ht="19.95" customHeight="1" x14ac:dyDescent="0.3">
      <c r="A68" s="56"/>
      <c r="B68" s="82"/>
      <c r="C68" s="82"/>
      <c r="D68" s="82"/>
      <c r="E68" s="82"/>
      <c r="F68" s="82"/>
      <c r="G68" s="83" t="str">
        <f t="shared" si="2"/>
        <v/>
      </c>
      <c r="H68" s="82"/>
      <c r="I68" s="82"/>
      <c r="J68" s="82"/>
    </row>
    <row r="69" spans="1:10" ht="19.95" customHeight="1" x14ac:dyDescent="0.3">
      <c r="A69" s="56"/>
      <c r="B69" s="57"/>
      <c r="C69" s="57"/>
      <c r="D69" s="57"/>
      <c r="E69" s="57"/>
      <c r="F69" s="57"/>
      <c r="G69" s="81" t="str">
        <f t="shared" si="2"/>
        <v/>
      </c>
      <c r="H69" s="57"/>
      <c r="I69" s="57"/>
      <c r="J69" s="57"/>
    </row>
    <row r="70" spans="1:10" ht="19.95" customHeight="1" x14ac:dyDescent="0.3">
      <c r="A70" s="56"/>
      <c r="B70" s="82"/>
      <c r="C70" s="82"/>
      <c r="D70" s="82"/>
      <c r="E70" s="82"/>
      <c r="F70" s="82"/>
      <c r="G70" s="83" t="str">
        <f t="shared" si="2"/>
        <v/>
      </c>
      <c r="H70" s="82"/>
      <c r="I70" s="82"/>
      <c r="J70" s="82"/>
    </row>
    <row r="71" spans="1:10" ht="19.95" customHeight="1" x14ac:dyDescent="0.3">
      <c r="A71" s="56"/>
      <c r="B71" s="57"/>
      <c r="C71" s="57"/>
      <c r="D71" s="57"/>
      <c r="E71" s="57"/>
      <c r="F71" s="57"/>
      <c r="G71" s="81" t="str">
        <f t="shared" si="2"/>
        <v/>
      </c>
      <c r="H71" s="57"/>
      <c r="I71" s="57"/>
      <c r="J71" s="57"/>
    </row>
    <row r="72" spans="1:10" ht="19.95" customHeight="1" x14ac:dyDescent="0.3">
      <c r="A72" s="56"/>
      <c r="B72" s="82"/>
      <c r="C72" s="82"/>
      <c r="D72" s="82"/>
      <c r="E72" s="82"/>
      <c r="F72" s="82"/>
      <c r="G72" s="83" t="str">
        <f t="shared" si="2"/>
        <v/>
      </c>
      <c r="H72" s="82"/>
      <c r="I72" s="82"/>
      <c r="J72" s="82"/>
    </row>
    <row r="73" spans="1:10" ht="19.95" customHeight="1" x14ac:dyDescent="0.3">
      <c r="A73" s="56"/>
      <c r="B73" s="57"/>
      <c r="C73" s="57"/>
      <c r="D73" s="57"/>
      <c r="E73" s="57"/>
      <c r="F73" s="57"/>
      <c r="G73" s="81" t="str">
        <f t="shared" si="2"/>
        <v/>
      </c>
      <c r="H73" s="57"/>
      <c r="I73" s="57"/>
      <c r="J73" s="57"/>
    </row>
    <row r="74" spans="1:10" ht="19.95" customHeight="1" x14ac:dyDescent="0.3">
      <c r="A74" s="56"/>
      <c r="B74" s="82"/>
      <c r="C74" s="82"/>
      <c r="D74" s="82"/>
      <c r="E74" s="82"/>
      <c r="F74" s="82"/>
      <c r="G74" s="83" t="str">
        <f t="shared" si="2"/>
        <v/>
      </c>
      <c r="H74" s="82"/>
      <c r="I74" s="82"/>
      <c r="J74" s="82"/>
    </row>
    <row r="75" spans="1:10" ht="19.95" customHeight="1" x14ac:dyDescent="0.3">
      <c r="A75" s="56"/>
      <c r="B75" s="57"/>
      <c r="C75" s="57"/>
      <c r="D75" s="57"/>
      <c r="E75" s="57"/>
      <c r="F75" s="57"/>
      <c r="G75" s="81" t="str">
        <f t="shared" si="2"/>
        <v/>
      </c>
      <c r="H75" s="57"/>
      <c r="I75" s="57"/>
      <c r="J75" s="57"/>
    </row>
    <row r="76" spans="1:10" ht="19.95" customHeight="1" x14ac:dyDescent="0.3">
      <c r="A76" s="56"/>
      <c r="B76" s="82"/>
      <c r="C76" s="82"/>
      <c r="D76" s="82"/>
      <c r="E76" s="82"/>
      <c r="F76" s="82"/>
      <c r="G76" s="83" t="str">
        <f t="shared" si="2"/>
        <v/>
      </c>
      <c r="H76" s="82"/>
      <c r="I76" s="82"/>
      <c r="J76" s="82"/>
    </row>
    <row r="77" spans="1:10" ht="19.95" customHeight="1" x14ac:dyDescent="0.3">
      <c r="A77" s="56"/>
      <c r="B77" s="57"/>
      <c r="C77" s="57"/>
      <c r="D77" s="57"/>
      <c r="E77" s="57"/>
      <c r="F77" s="57"/>
      <c r="G77" s="81" t="str">
        <f t="shared" si="2"/>
        <v/>
      </c>
      <c r="H77" s="57"/>
      <c r="I77" s="57"/>
      <c r="J77" s="57"/>
    </row>
    <row r="78" spans="1:10" ht="19.95" customHeight="1" x14ac:dyDescent="0.3">
      <c r="A78" s="56"/>
      <c r="B78" s="82"/>
      <c r="C78" s="82"/>
      <c r="D78" s="82"/>
      <c r="E78" s="82"/>
      <c r="F78" s="82"/>
      <c r="G78" s="83" t="str">
        <f t="shared" si="2"/>
        <v/>
      </c>
      <c r="H78" s="82"/>
      <c r="I78" s="82"/>
      <c r="J78" s="82"/>
    </row>
    <row r="79" spans="1:10" ht="19.95" customHeight="1" x14ac:dyDescent="0.3">
      <c r="A79" s="56"/>
      <c r="B79" s="57"/>
      <c r="C79" s="57"/>
      <c r="D79" s="57"/>
      <c r="E79" s="57"/>
      <c r="F79" s="57"/>
      <c r="G79" s="81" t="str">
        <f t="shared" ref="G79:G110" si="3">IF(AND(E79=0,F79=0),"",G78+E79-F79)</f>
        <v/>
      </c>
      <c r="H79" s="57"/>
      <c r="I79" s="57"/>
      <c r="J79" s="57"/>
    </row>
    <row r="80" spans="1:10" ht="19.95" customHeight="1" x14ac:dyDescent="0.3">
      <c r="A80" s="56"/>
      <c r="B80" s="82"/>
      <c r="C80" s="82"/>
      <c r="D80" s="82"/>
      <c r="E80" s="82"/>
      <c r="F80" s="82"/>
      <c r="G80" s="83" t="str">
        <f t="shared" si="3"/>
        <v/>
      </c>
      <c r="H80" s="82"/>
      <c r="I80" s="82"/>
      <c r="J80" s="82"/>
    </row>
    <row r="81" spans="1:10" ht="19.95" customHeight="1" x14ac:dyDescent="0.3">
      <c r="A81" s="56"/>
      <c r="B81" s="57"/>
      <c r="C81" s="57"/>
      <c r="D81" s="57"/>
      <c r="E81" s="57"/>
      <c r="F81" s="57"/>
      <c r="G81" s="81" t="str">
        <f t="shared" si="3"/>
        <v/>
      </c>
      <c r="H81" s="57"/>
      <c r="I81" s="57"/>
      <c r="J81" s="57"/>
    </row>
    <row r="82" spans="1:10" ht="19.95" customHeight="1" x14ac:dyDescent="0.3">
      <c r="A82" s="56"/>
      <c r="B82" s="82"/>
      <c r="C82" s="82"/>
      <c r="D82" s="82"/>
      <c r="E82" s="82"/>
      <c r="F82" s="82"/>
      <c r="G82" s="83" t="str">
        <f t="shared" si="3"/>
        <v/>
      </c>
      <c r="H82" s="82"/>
      <c r="I82" s="82"/>
      <c r="J82" s="82"/>
    </row>
    <row r="83" spans="1:10" ht="19.95" customHeight="1" x14ac:dyDescent="0.3">
      <c r="A83" s="56"/>
      <c r="B83" s="57"/>
      <c r="C83" s="57"/>
      <c r="D83" s="57"/>
      <c r="E83" s="57"/>
      <c r="F83" s="57"/>
      <c r="G83" s="81" t="str">
        <f t="shared" si="3"/>
        <v/>
      </c>
      <c r="H83" s="57"/>
      <c r="I83" s="57"/>
      <c r="J83" s="57"/>
    </row>
    <row r="84" spans="1:10" ht="19.95" customHeight="1" x14ac:dyDescent="0.3">
      <c r="A84" s="56"/>
      <c r="B84" s="82"/>
      <c r="C84" s="82"/>
      <c r="D84" s="82"/>
      <c r="E84" s="82"/>
      <c r="F84" s="82"/>
      <c r="G84" s="83" t="str">
        <f t="shared" si="3"/>
        <v/>
      </c>
      <c r="H84" s="82"/>
      <c r="I84" s="82"/>
      <c r="J84" s="82"/>
    </row>
    <row r="85" spans="1:10" ht="19.95" customHeight="1" x14ac:dyDescent="0.3">
      <c r="A85" s="56"/>
      <c r="B85" s="57"/>
      <c r="C85" s="57"/>
      <c r="D85" s="57"/>
      <c r="E85" s="57"/>
      <c r="F85" s="57"/>
      <c r="G85" s="81" t="str">
        <f t="shared" si="3"/>
        <v/>
      </c>
      <c r="H85" s="57"/>
      <c r="I85" s="57"/>
      <c r="J85" s="57"/>
    </row>
    <row r="86" spans="1:10" ht="19.95" customHeight="1" x14ac:dyDescent="0.3">
      <c r="A86" s="56"/>
      <c r="B86" s="82"/>
      <c r="C86" s="82"/>
      <c r="D86" s="82"/>
      <c r="E86" s="82"/>
      <c r="F86" s="82"/>
      <c r="G86" s="83" t="str">
        <f t="shared" si="3"/>
        <v/>
      </c>
      <c r="H86" s="82"/>
      <c r="I86" s="82"/>
      <c r="J86" s="82"/>
    </row>
    <row r="87" spans="1:10" ht="19.95" customHeight="1" x14ac:dyDescent="0.3">
      <c r="A87" s="56"/>
      <c r="B87" s="57"/>
      <c r="C87" s="57"/>
      <c r="D87" s="57"/>
      <c r="E87" s="57"/>
      <c r="F87" s="57"/>
      <c r="G87" s="81" t="str">
        <f t="shared" si="3"/>
        <v/>
      </c>
      <c r="H87" s="57"/>
      <c r="I87" s="57"/>
      <c r="J87" s="57"/>
    </row>
    <row r="88" spans="1:10" ht="19.95" customHeight="1" x14ac:dyDescent="0.3">
      <c r="A88" s="56"/>
      <c r="B88" s="82"/>
      <c r="C88" s="82"/>
      <c r="D88" s="82"/>
      <c r="E88" s="82"/>
      <c r="F88" s="82"/>
      <c r="G88" s="83" t="str">
        <f t="shared" si="3"/>
        <v/>
      </c>
      <c r="H88" s="82"/>
      <c r="I88" s="82"/>
      <c r="J88" s="82"/>
    </row>
    <row r="89" spans="1:10" ht="19.95" customHeight="1" x14ac:dyDescent="0.3">
      <c r="A89" s="56"/>
      <c r="B89" s="57"/>
      <c r="C89" s="57"/>
      <c r="D89" s="57"/>
      <c r="E89" s="57"/>
      <c r="F89" s="57"/>
      <c r="G89" s="81" t="str">
        <f t="shared" si="3"/>
        <v/>
      </c>
      <c r="H89" s="57"/>
      <c r="I89" s="57"/>
      <c r="J89" s="57"/>
    </row>
    <row r="90" spans="1:10" ht="19.95" customHeight="1" x14ac:dyDescent="0.3">
      <c r="A90" s="56"/>
      <c r="B90" s="82"/>
      <c r="C90" s="82"/>
      <c r="D90" s="82"/>
      <c r="E90" s="82"/>
      <c r="F90" s="82"/>
      <c r="G90" s="83" t="str">
        <f t="shared" si="3"/>
        <v/>
      </c>
      <c r="H90" s="82"/>
      <c r="I90" s="82"/>
      <c r="J90" s="82"/>
    </row>
    <row r="91" spans="1:10" ht="19.95" customHeight="1" x14ac:dyDescent="0.3">
      <c r="A91" s="56"/>
      <c r="B91" s="57"/>
      <c r="C91" s="57"/>
      <c r="D91" s="57"/>
      <c r="E91" s="57"/>
      <c r="F91" s="57"/>
      <c r="G91" s="81" t="str">
        <f t="shared" si="3"/>
        <v/>
      </c>
      <c r="H91" s="57"/>
      <c r="I91" s="57"/>
      <c r="J91" s="57"/>
    </row>
    <row r="92" spans="1:10" ht="19.95" customHeight="1" x14ac:dyDescent="0.3">
      <c r="A92" s="56"/>
      <c r="B92" s="82"/>
      <c r="C92" s="82"/>
      <c r="D92" s="82"/>
      <c r="E92" s="82"/>
      <c r="F92" s="82"/>
      <c r="G92" s="83" t="str">
        <f t="shared" si="3"/>
        <v/>
      </c>
      <c r="H92" s="82"/>
      <c r="I92" s="82"/>
      <c r="J92" s="82"/>
    </row>
    <row r="93" spans="1:10" ht="19.95" customHeight="1" x14ac:dyDescent="0.3">
      <c r="A93" s="56"/>
      <c r="B93" s="57"/>
      <c r="C93" s="57"/>
      <c r="D93" s="57"/>
      <c r="E93" s="57"/>
      <c r="F93" s="57"/>
      <c r="G93" s="81" t="str">
        <f t="shared" si="3"/>
        <v/>
      </c>
      <c r="H93" s="57"/>
      <c r="I93" s="57"/>
      <c r="J93" s="57"/>
    </row>
    <row r="94" spans="1:10" ht="19.95" customHeight="1" x14ac:dyDescent="0.3">
      <c r="A94" s="56"/>
      <c r="B94" s="82"/>
      <c r="C94" s="82"/>
      <c r="D94" s="82"/>
      <c r="E94" s="82"/>
      <c r="F94" s="82"/>
      <c r="G94" s="83" t="str">
        <f t="shared" si="3"/>
        <v/>
      </c>
      <c r="H94" s="82"/>
      <c r="I94" s="82"/>
      <c r="J94" s="82"/>
    </row>
    <row r="95" spans="1:10" ht="19.95" customHeight="1" x14ac:dyDescent="0.3">
      <c r="A95" s="56"/>
      <c r="B95" s="57"/>
      <c r="C95" s="57"/>
      <c r="D95" s="57"/>
      <c r="E95" s="57"/>
      <c r="F95" s="57"/>
      <c r="G95" s="81" t="str">
        <f t="shared" si="3"/>
        <v/>
      </c>
      <c r="H95" s="57"/>
      <c r="I95" s="57"/>
      <c r="J95" s="57"/>
    </row>
    <row r="96" spans="1:10" ht="19.95" customHeight="1" x14ac:dyDescent="0.3">
      <c r="A96" s="56"/>
      <c r="B96" s="82"/>
      <c r="C96" s="82"/>
      <c r="D96" s="82"/>
      <c r="E96" s="82"/>
      <c r="F96" s="82"/>
      <c r="G96" s="83" t="str">
        <f t="shared" si="3"/>
        <v/>
      </c>
      <c r="H96" s="82"/>
      <c r="I96" s="82"/>
      <c r="J96" s="82"/>
    </row>
    <row r="97" spans="1:10" ht="19.95" customHeight="1" x14ac:dyDescent="0.3">
      <c r="A97" s="56"/>
      <c r="B97" s="57"/>
      <c r="C97" s="57"/>
      <c r="D97" s="57"/>
      <c r="E97" s="57"/>
      <c r="F97" s="57"/>
      <c r="G97" s="81" t="str">
        <f t="shared" si="3"/>
        <v/>
      </c>
      <c r="H97" s="57"/>
      <c r="I97" s="57"/>
      <c r="J97" s="57"/>
    </row>
    <row r="98" spans="1:10" ht="19.95" customHeight="1" x14ac:dyDescent="0.3">
      <c r="A98" s="56"/>
      <c r="B98" s="82"/>
      <c r="C98" s="82"/>
      <c r="D98" s="82"/>
      <c r="E98" s="82"/>
      <c r="F98" s="82"/>
      <c r="G98" s="83" t="str">
        <f t="shared" si="3"/>
        <v/>
      </c>
      <c r="H98" s="82"/>
      <c r="I98" s="82"/>
      <c r="J98" s="82"/>
    </row>
    <row r="99" spans="1:10" ht="19.95" customHeight="1" x14ac:dyDescent="0.3">
      <c r="A99" s="56"/>
      <c r="B99" s="57"/>
      <c r="C99" s="57"/>
      <c r="D99" s="57"/>
      <c r="E99" s="57"/>
      <c r="F99" s="57"/>
      <c r="G99" s="81" t="str">
        <f t="shared" si="3"/>
        <v/>
      </c>
      <c r="H99" s="57"/>
      <c r="I99" s="57"/>
      <c r="J99" s="57"/>
    </row>
    <row r="100" spans="1:10" ht="19.95" customHeight="1" x14ac:dyDescent="0.3">
      <c r="A100" s="56"/>
      <c r="B100" s="82"/>
      <c r="C100" s="82"/>
      <c r="D100" s="82"/>
      <c r="E100" s="82"/>
      <c r="F100" s="82"/>
      <c r="G100" s="83" t="str">
        <f t="shared" si="3"/>
        <v/>
      </c>
      <c r="H100" s="82"/>
      <c r="I100" s="82"/>
      <c r="J100" s="82"/>
    </row>
    <row r="101" spans="1:10" ht="19.95" customHeight="1" x14ac:dyDescent="0.3">
      <c r="A101" s="56"/>
      <c r="B101" s="57"/>
      <c r="C101" s="57"/>
      <c r="D101" s="57"/>
      <c r="E101" s="57"/>
      <c r="F101" s="57"/>
      <c r="G101" s="81" t="str">
        <f t="shared" si="3"/>
        <v/>
      </c>
      <c r="H101" s="57"/>
      <c r="I101" s="57"/>
      <c r="J101" s="57"/>
    </row>
    <row r="102" spans="1:10" ht="19.95" customHeight="1" x14ac:dyDescent="0.3">
      <c r="A102" s="56"/>
      <c r="B102" s="82"/>
      <c r="C102" s="82"/>
      <c r="D102" s="82"/>
      <c r="E102" s="82"/>
      <c r="F102" s="82"/>
      <c r="G102" s="83" t="str">
        <f t="shared" si="3"/>
        <v/>
      </c>
      <c r="H102" s="82"/>
      <c r="I102" s="82"/>
      <c r="J102" s="82"/>
    </row>
    <row r="103" spans="1:10" ht="19.95" customHeight="1" x14ac:dyDescent="0.3">
      <c r="A103" s="56"/>
      <c r="B103" s="57"/>
      <c r="C103" s="57"/>
      <c r="D103" s="57"/>
      <c r="E103" s="57"/>
      <c r="F103" s="57"/>
      <c r="G103" s="81" t="str">
        <f t="shared" si="3"/>
        <v/>
      </c>
      <c r="H103" s="57"/>
      <c r="I103" s="57"/>
      <c r="J103" s="57"/>
    </row>
    <row r="104" spans="1:10" ht="19.95" customHeight="1" x14ac:dyDescent="0.3">
      <c r="A104" s="56"/>
      <c r="B104" s="82"/>
      <c r="C104" s="82"/>
      <c r="D104" s="82"/>
      <c r="E104" s="82"/>
      <c r="F104" s="82"/>
      <c r="G104" s="83" t="str">
        <f t="shared" si="3"/>
        <v/>
      </c>
      <c r="H104" s="82"/>
      <c r="I104" s="82"/>
      <c r="J104" s="82"/>
    </row>
    <row r="105" spans="1:10" ht="19.95" customHeight="1" x14ac:dyDescent="0.3">
      <c r="A105" s="56"/>
      <c r="B105" s="57"/>
      <c r="C105" s="57"/>
      <c r="D105" s="57"/>
      <c r="E105" s="57"/>
      <c r="F105" s="57"/>
      <c r="G105" s="81" t="str">
        <f t="shared" si="3"/>
        <v/>
      </c>
      <c r="H105" s="57"/>
      <c r="I105" s="57"/>
      <c r="J105" s="57"/>
    </row>
    <row r="106" spans="1:10" ht="19.95" customHeight="1" x14ac:dyDescent="0.3">
      <c r="A106" s="56"/>
      <c r="B106" s="82"/>
      <c r="C106" s="82"/>
      <c r="D106" s="82"/>
      <c r="E106" s="82"/>
      <c r="F106" s="82"/>
      <c r="G106" s="83" t="str">
        <f t="shared" si="3"/>
        <v/>
      </c>
      <c r="H106" s="82"/>
      <c r="I106" s="82"/>
      <c r="J106" s="82"/>
    </row>
    <row r="107" spans="1:10" ht="19.95" customHeight="1" x14ac:dyDescent="0.3">
      <c r="A107" s="56"/>
      <c r="B107" s="57"/>
      <c r="C107" s="57"/>
      <c r="D107" s="57"/>
      <c r="E107" s="57"/>
      <c r="F107" s="57"/>
      <c r="G107" s="81" t="str">
        <f t="shared" si="3"/>
        <v/>
      </c>
      <c r="H107" s="57"/>
      <c r="I107" s="57"/>
      <c r="J107" s="57"/>
    </row>
    <row r="108" spans="1:10" ht="19.95" customHeight="1" x14ac:dyDescent="0.3">
      <c r="A108" s="56"/>
      <c r="B108" s="82"/>
      <c r="C108" s="82"/>
      <c r="D108" s="82"/>
      <c r="E108" s="82"/>
      <c r="F108" s="82"/>
      <c r="G108" s="83" t="str">
        <f t="shared" si="3"/>
        <v/>
      </c>
      <c r="H108" s="82"/>
      <c r="I108" s="82"/>
      <c r="J108" s="82"/>
    </row>
    <row r="109" spans="1:10" ht="19.95" customHeight="1" x14ac:dyDescent="0.3">
      <c r="A109" s="56"/>
      <c r="B109" s="57"/>
      <c r="C109" s="57"/>
      <c r="D109" s="57"/>
      <c r="E109" s="57"/>
      <c r="F109" s="57"/>
      <c r="G109" s="81" t="str">
        <f t="shared" si="3"/>
        <v/>
      </c>
      <c r="H109" s="57"/>
      <c r="I109" s="57"/>
      <c r="J109" s="57"/>
    </row>
    <row r="110" spans="1:10" ht="19.95" customHeight="1" x14ac:dyDescent="0.3">
      <c r="A110" s="56"/>
      <c r="B110" s="82"/>
      <c r="C110" s="82"/>
      <c r="D110" s="82"/>
      <c r="E110" s="82"/>
      <c r="F110" s="82"/>
      <c r="G110" s="83" t="str">
        <f t="shared" si="3"/>
        <v/>
      </c>
      <c r="H110" s="82"/>
      <c r="I110" s="82"/>
      <c r="J110" s="82"/>
    </row>
    <row r="111" spans="1:10" ht="19.95" customHeight="1" x14ac:dyDescent="0.3">
      <c r="A111" s="56"/>
      <c r="B111" s="57"/>
      <c r="C111" s="57"/>
      <c r="D111" s="57"/>
      <c r="E111" s="57"/>
      <c r="F111" s="57"/>
      <c r="G111" s="81" t="str">
        <f t="shared" ref="G111:G142" si="4">IF(AND(E111=0,F111=0),"",G110+E111-F111)</f>
        <v/>
      </c>
      <c r="H111" s="57"/>
      <c r="I111" s="57"/>
      <c r="J111" s="57"/>
    </row>
    <row r="112" spans="1:10" ht="19.95" customHeight="1" x14ac:dyDescent="0.3">
      <c r="A112" s="56"/>
      <c r="B112" s="82"/>
      <c r="C112" s="82"/>
      <c r="D112" s="82"/>
      <c r="E112" s="82"/>
      <c r="F112" s="82"/>
      <c r="G112" s="83" t="str">
        <f t="shared" si="4"/>
        <v/>
      </c>
      <c r="H112" s="82"/>
      <c r="I112" s="82"/>
      <c r="J112" s="82"/>
    </row>
    <row r="113" spans="1:10" ht="19.95" customHeight="1" x14ac:dyDescent="0.3">
      <c r="A113" s="56"/>
      <c r="B113" s="57"/>
      <c r="C113" s="57"/>
      <c r="D113" s="57"/>
      <c r="E113" s="57"/>
      <c r="F113" s="57"/>
      <c r="G113" s="81" t="str">
        <f t="shared" si="4"/>
        <v/>
      </c>
      <c r="H113" s="57"/>
      <c r="I113" s="57"/>
      <c r="J113" s="57"/>
    </row>
    <row r="114" spans="1:10" ht="19.95" customHeight="1" x14ac:dyDescent="0.3">
      <c r="A114" s="56"/>
      <c r="B114" s="82"/>
      <c r="C114" s="82"/>
      <c r="D114" s="82"/>
      <c r="E114" s="82"/>
      <c r="F114" s="82"/>
      <c r="G114" s="83" t="str">
        <f t="shared" si="4"/>
        <v/>
      </c>
      <c r="H114" s="82"/>
      <c r="I114" s="82"/>
      <c r="J114" s="82"/>
    </row>
    <row r="115" spans="1:10" ht="19.95" customHeight="1" x14ac:dyDescent="0.3">
      <c r="A115" s="56"/>
      <c r="B115" s="57"/>
      <c r="C115" s="57"/>
      <c r="D115" s="57"/>
      <c r="E115" s="57"/>
      <c r="F115" s="57"/>
      <c r="G115" s="81" t="str">
        <f t="shared" si="4"/>
        <v/>
      </c>
      <c r="H115" s="57"/>
      <c r="I115" s="57"/>
      <c r="J115" s="57"/>
    </row>
    <row r="116" spans="1:10" ht="19.95" customHeight="1" x14ac:dyDescent="0.3">
      <c r="A116" s="56"/>
      <c r="B116" s="82"/>
      <c r="C116" s="82"/>
      <c r="D116" s="82"/>
      <c r="E116" s="82"/>
      <c r="F116" s="82"/>
      <c r="G116" s="83" t="str">
        <f t="shared" si="4"/>
        <v/>
      </c>
      <c r="H116" s="82"/>
      <c r="I116" s="82"/>
      <c r="J116" s="82"/>
    </row>
    <row r="117" spans="1:10" ht="19.95" customHeight="1" x14ac:dyDescent="0.3">
      <c r="A117" s="56"/>
      <c r="B117" s="57"/>
      <c r="C117" s="57"/>
      <c r="D117" s="57"/>
      <c r="E117" s="57"/>
      <c r="F117" s="57"/>
      <c r="G117" s="81" t="str">
        <f t="shared" si="4"/>
        <v/>
      </c>
      <c r="H117" s="57"/>
      <c r="I117" s="57"/>
      <c r="J117" s="57"/>
    </row>
    <row r="118" spans="1:10" ht="19.95" customHeight="1" x14ac:dyDescent="0.3">
      <c r="A118" s="56"/>
      <c r="B118" s="82"/>
      <c r="C118" s="82"/>
      <c r="D118" s="82"/>
      <c r="E118" s="82"/>
      <c r="F118" s="82"/>
      <c r="G118" s="83" t="str">
        <f t="shared" si="4"/>
        <v/>
      </c>
      <c r="H118" s="82"/>
      <c r="I118" s="82"/>
      <c r="J118" s="82"/>
    </row>
    <row r="119" spans="1:10" ht="19.95" customHeight="1" x14ac:dyDescent="0.3">
      <c r="A119" s="56"/>
      <c r="B119" s="57"/>
      <c r="C119" s="57"/>
      <c r="D119" s="57"/>
      <c r="E119" s="57"/>
      <c r="F119" s="57"/>
      <c r="G119" s="81" t="str">
        <f t="shared" si="4"/>
        <v/>
      </c>
      <c r="H119" s="57"/>
      <c r="I119" s="57"/>
      <c r="J119" s="57"/>
    </row>
    <row r="120" spans="1:10" ht="19.95" customHeight="1" x14ac:dyDescent="0.3">
      <c r="A120" s="56"/>
      <c r="B120" s="82"/>
      <c r="C120" s="82"/>
      <c r="D120" s="82"/>
      <c r="E120" s="82"/>
      <c r="F120" s="82"/>
      <c r="G120" s="83" t="str">
        <f t="shared" si="4"/>
        <v/>
      </c>
      <c r="H120" s="82"/>
      <c r="I120" s="82"/>
      <c r="J120" s="82"/>
    </row>
    <row r="121" spans="1:10" ht="19.95" customHeight="1" x14ac:dyDescent="0.3">
      <c r="A121" s="56"/>
      <c r="B121" s="57"/>
      <c r="C121" s="57"/>
      <c r="D121" s="57"/>
      <c r="E121" s="57"/>
      <c r="F121" s="57"/>
      <c r="G121" s="81" t="str">
        <f t="shared" si="4"/>
        <v/>
      </c>
      <c r="H121" s="57"/>
      <c r="I121" s="57"/>
      <c r="J121" s="57"/>
    </row>
    <row r="122" spans="1:10" ht="19.95" customHeight="1" x14ac:dyDescent="0.3">
      <c r="A122" s="56"/>
      <c r="B122" s="82"/>
      <c r="C122" s="82"/>
      <c r="D122" s="82"/>
      <c r="E122" s="82"/>
      <c r="F122" s="82"/>
      <c r="G122" s="83" t="str">
        <f t="shared" si="4"/>
        <v/>
      </c>
      <c r="H122" s="82"/>
      <c r="I122" s="82"/>
      <c r="J122" s="82"/>
    </row>
    <row r="123" spans="1:10" ht="19.95" customHeight="1" x14ac:dyDescent="0.3">
      <c r="A123" s="56"/>
      <c r="B123" s="57"/>
      <c r="C123" s="57"/>
      <c r="D123" s="57"/>
      <c r="E123" s="57"/>
      <c r="F123" s="57"/>
      <c r="G123" s="81" t="str">
        <f t="shared" si="4"/>
        <v/>
      </c>
      <c r="H123" s="57"/>
      <c r="I123" s="57"/>
      <c r="J123" s="57"/>
    </row>
    <row r="124" spans="1:10" ht="19.95" customHeight="1" x14ac:dyDescent="0.3">
      <c r="A124" s="56"/>
      <c r="B124" s="82"/>
      <c r="C124" s="82"/>
      <c r="D124" s="82"/>
      <c r="E124" s="82"/>
      <c r="F124" s="82"/>
      <c r="G124" s="83" t="str">
        <f t="shared" si="4"/>
        <v/>
      </c>
      <c r="H124" s="82"/>
      <c r="I124" s="82"/>
      <c r="J124" s="82"/>
    </row>
    <row r="125" spans="1:10" ht="19.95" customHeight="1" x14ac:dyDescent="0.3">
      <c r="A125" s="56"/>
      <c r="B125" s="57"/>
      <c r="C125" s="57"/>
      <c r="D125" s="57"/>
      <c r="E125" s="57"/>
      <c r="F125" s="57"/>
      <c r="G125" s="81" t="str">
        <f t="shared" si="4"/>
        <v/>
      </c>
      <c r="H125" s="57"/>
      <c r="I125" s="57"/>
      <c r="J125" s="57"/>
    </row>
    <row r="126" spans="1:10" ht="19.95" customHeight="1" x14ac:dyDescent="0.3">
      <c r="A126" s="56"/>
      <c r="B126" s="82"/>
      <c r="C126" s="82"/>
      <c r="D126" s="82"/>
      <c r="E126" s="82"/>
      <c r="F126" s="82"/>
      <c r="G126" s="83" t="str">
        <f t="shared" si="4"/>
        <v/>
      </c>
      <c r="H126" s="82"/>
      <c r="I126" s="82"/>
      <c r="J126" s="82"/>
    </row>
    <row r="127" spans="1:10" ht="19.95" customHeight="1" x14ac:dyDescent="0.3">
      <c r="A127" s="56"/>
      <c r="B127" s="57"/>
      <c r="C127" s="57"/>
      <c r="D127" s="57"/>
      <c r="E127" s="57"/>
      <c r="F127" s="57"/>
      <c r="G127" s="81" t="str">
        <f t="shared" si="4"/>
        <v/>
      </c>
      <c r="H127" s="57"/>
      <c r="I127" s="57"/>
      <c r="J127" s="57"/>
    </row>
    <row r="128" spans="1:10" ht="19.95" customHeight="1" x14ac:dyDescent="0.3">
      <c r="A128" s="56"/>
      <c r="B128" s="82"/>
      <c r="C128" s="82"/>
      <c r="D128" s="82"/>
      <c r="E128" s="82"/>
      <c r="F128" s="82"/>
      <c r="G128" s="83" t="str">
        <f t="shared" si="4"/>
        <v/>
      </c>
      <c r="H128" s="82"/>
      <c r="I128" s="82"/>
      <c r="J128" s="82"/>
    </row>
    <row r="129" spans="1:10" ht="19.95" customHeight="1" x14ac:dyDescent="0.3">
      <c r="A129" s="56"/>
      <c r="B129" s="57"/>
      <c r="C129" s="57"/>
      <c r="D129" s="57"/>
      <c r="E129" s="57"/>
      <c r="F129" s="57"/>
      <c r="G129" s="81" t="str">
        <f t="shared" si="4"/>
        <v/>
      </c>
      <c r="H129" s="57"/>
      <c r="I129" s="57"/>
      <c r="J129" s="57"/>
    </row>
    <row r="130" spans="1:10" ht="19.95" customHeight="1" x14ac:dyDescent="0.3">
      <c r="A130" s="56"/>
      <c r="B130" s="82"/>
      <c r="C130" s="82"/>
      <c r="D130" s="82"/>
      <c r="E130" s="82"/>
      <c r="F130" s="82"/>
      <c r="G130" s="83" t="str">
        <f t="shared" si="4"/>
        <v/>
      </c>
      <c r="H130" s="82"/>
      <c r="I130" s="82"/>
      <c r="J130" s="82"/>
    </row>
    <row r="131" spans="1:10" ht="19.95" customHeight="1" x14ac:dyDescent="0.3">
      <c r="A131" s="56"/>
      <c r="B131" s="57"/>
      <c r="C131" s="57"/>
      <c r="D131" s="57"/>
      <c r="E131" s="57"/>
      <c r="F131" s="57"/>
      <c r="G131" s="81" t="str">
        <f t="shared" si="4"/>
        <v/>
      </c>
      <c r="H131" s="57"/>
      <c r="I131" s="57"/>
      <c r="J131" s="57"/>
    </row>
    <row r="132" spans="1:10" ht="19.95" customHeight="1" x14ac:dyDescent="0.3">
      <c r="A132" s="56"/>
      <c r="B132" s="82"/>
      <c r="C132" s="82"/>
      <c r="D132" s="82"/>
      <c r="E132" s="82"/>
      <c r="F132" s="82"/>
      <c r="G132" s="83" t="str">
        <f t="shared" si="4"/>
        <v/>
      </c>
      <c r="H132" s="82"/>
      <c r="I132" s="82"/>
      <c r="J132" s="82"/>
    </row>
    <row r="133" spans="1:10" ht="19.95" customHeight="1" x14ac:dyDescent="0.3">
      <c r="A133" s="56"/>
      <c r="B133" s="57"/>
      <c r="C133" s="57"/>
      <c r="D133" s="57"/>
      <c r="E133" s="57"/>
      <c r="F133" s="57"/>
      <c r="G133" s="81" t="str">
        <f t="shared" si="4"/>
        <v/>
      </c>
      <c r="H133" s="57"/>
      <c r="I133" s="57"/>
      <c r="J133" s="57"/>
    </row>
    <row r="134" spans="1:10" ht="19.95" customHeight="1" x14ac:dyDescent="0.3">
      <c r="A134" s="56"/>
      <c r="B134" s="82"/>
      <c r="C134" s="82"/>
      <c r="D134" s="82"/>
      <c r="E134" s="82"/>
      <c r="F134" s="82"/>
      <c r="G134" s="83" t="str">
        <f t="shared" si="4"/>
        <v/>
      </c>
      <c r="H134" s="82"/>
      <c r="I134" s="82"/>
      <c r="J134" s="82"/>
    </row>
    <row r="135" spans="1:10" ht="19.95" customHeight="1" x14ac:dyDescent="0.3">
      <c r="A135" s="56"/>
      <c r="B135" s="57"/>
      <c r="C135" s="57"/>
      <c r="D135" s="57"/>
      <c r="E135" s="57"/>
      <c r="F135" s="57"/>
      <c r="G135" s="81" t="str">
        <f t="shared" si="4"/>
        <v/>
      </c>
      <c r="H135" s="57"/>
      <c r="I135" s="57"/>
      <c r="J135" s="57"/>
    </row>
    <row r="136" spans="1:10" ht="19.95" customHeight="1" x14ac:dyDescent="0.3">
      <c r="A136" s="56"/>
      <c r="B136" s="82"/>
      <c r="C136" s="82"/>
      <c r="D136" s="82"/>
      <c r="E136" s="82"/>
      <c r="F136" s="82"/>
      <c r="G136" s="83" t="str">
        <f t="shared" si="4"/>
        <v/>
      </c>
      <c r="H136" s="82"/>
      <c r="I136" s="82"/>
      <c r="J136" s="82"/>
    </row>
    <row r="137" spans="1:10" ht="19.95" customHeight="1" x14ac:dyDescent="0.3">
      <c r="A137" s="56"/>
      <c r="B137" s="57"/>
      <c r="C137" s="57"/>
      <c r="D137" s="57"/>
      <c r="E137" s="57"/>
      <c r="F137" s="57"/>
      <c r="G137" s="81" t="str">
        <f t="shared" si="4"/>
        <v/>
      </c>
      <c r="H137" s="57"/>
      <c r="I137" s="57"/>
      <c r="J137" s="57"/>
    </row>
    <row r="138" spans="1:10" ht="19.95" customHeight="1" x14ac:dyDescent="0.3">
      <c r="A138" s="56"/>
      <c r="B138" s="82"/>
      <c r="C138" s="82"/>
      <c r="D138" s="82"/>
      <c r="E138" s="82"/>
      <c r="F138" s="82"/>
      <c r="G138" s="83" t="str">
        <f t="shared" si="4"/>
        <v/>
      </c>
      <c r="H138" s="82"/>
      <c r="I138" s="82"/>
      <c r="J138" s="82"/>
    </row>
    <row r="139" spans="1:10" ht="19.95" customHeight="1" x14ac:dyDescent="0.3">
      <c r="A139" s="56"/>
      <c r="B139" s="57"/>
      <c r="C139" s="57"/>
      <c r="D139" s="57"/>
      <c r="E139" s="57"/>
      <c r="F139" s="57"/>
      <c r="G139" s="81" t="str">
        <f t="shared" si="4"/>
        <v/>
      </c>
      <c r="H139" s="57"/>
      <c r="I139" s="57"/>
      <c r="J139" s="57"/>
    </row>
    <row r="140" spans="1:10" ht="19.95" customHeight="1" x14ac:dyDescent="0.3">
      <c r="A140" s="56"/>
      <c r="B140" s="82"/>
      <c r="C140" s="82"/>
      <c r="D140" s="82"/>
      <c r="E140" s="82"/>
      <c r="F140" s="82"/>
      <c r="G140" s="83" t="str">
        <f t="shared" si="4"/>
        <v/>
      </c>
      <c r="H140" s="82"/>
      <c r="I140" s="82"/>
      <c r="J140" s="82"/>
    </row>
    <row r="141" spans="1:10" ht="19.95" customHeight="1" x14ac:dyDescent="0.3">
      <c r="A141" s="56"/>
      <c r="B141" s="57"/>
      <c r="C141" s="57"/>
      <c r="D141" s="57"/>
      <c r="E141" s="57"/>
      <c r="F141" s="57"/>
      <c r="G141" s="81" t="str">
        <f t="shared" si="4"/>
        <v/>
      </c>
      <c r="H141" s="57"/>
      <c r="I141" s="57"/>
      <c r="J141" s="57"/>
    </row>
    <row r="142" spans="1:10" ht="19.95" customHeight="1" x14ac:dyDescent="0.3">
      <c r="A142" s="56"/>
      <c r="B142" s="82"/>
      <c r="C142" s="82"/>
      <c r="D142" s="82"/>
      <c r="E142" s="82"/>
      <c r="F142" s="82"/>
      <c r="G142" s="83" t="str">
        <f t="shared" si="4"/>
        <v/>
      </c>
      <c r="H142" s="82"/>
      <c r="I142" s="82"/>
      <c r="J142" s="82"/>
    </row>
    <row r="143" spans="1:10" ht="19.95" customHeight="1" x14ac:dyDescent="0.3">
      <c r="A143" s="56"/>
      <c r="B143" s="57"/>
      <c r="C143" s="57"/>
      <c r="D143" s="57"/>
      <c r="E143" s="57"/>
      <c r="F143" s="57"/>
      <c r="G143" s="81" t="str">
        <f t="shared" ref="G143:G149" si="5">IF(AND(E143=0,F143=0),"",G142+E143-F143)</f>
        <v/>
      </c>
      <c r="H143" s="57"/>
      <c r="I143" s="57"/>
      <c r="J143" s="57"/>
    </row>
    <row r="144" spans="1:10" ht="19.95" customHeight="1" x14ac:dyDescent="0.3">
      <c r="A144" s="56"/>
      <c r="B144" s="82"/>
      <c r="C144" s="82"/>
      <c r="D144" s="82"/>
      <c r="E144" s="82"/>
      <c r="F144" s="82"/>
      <c r="G144" s="83" t="str">
        <f t="shared" si="5"/>
        <v/>
      </c>
      <c r="H144" s="82"/>
      <c r="I144" s="82"/>
      <c r="J144" s="82"/>
    </row>
    <row r="145" spans="1:10" ht="19.95" customHeight="1" x14ac:dyDescent="0.3">
      <c r="A145" s="56"/>
      <c r="B145" s="57"/>
      <c r="C145" s="57"/>
      <c r="D145" s="57"/>
      <c r="E145" s="57"/>
      <c r="F145" s="57"/>
      <c r="G145" s="81" t="str">
        <f t="shared" si="5"/>
        <v/>
      </c>
      <c r="H145" s="57"/>
      <c r="I145" s="57"/>
      <c r="J145" s="57"/>
    </row>
    <row r="146" spans="1:10" ht="19.95" customHeight="1" x14ac:dyDescent="0.3">
      <c r="A146" s="56"/>
      <c r="B146" s="82"/>
      <c r="C146" s="82"/>
      <c r="D146" s="82"/>
      <c r="E146" s="82"/>
      <c r="F146" s="82"/>
      <c r="G146" s="83" t="str">
        <f t="shared" si="5"/>
        <v/>
      </c>
      <c r="H146" s="82"/>
      <c r="I146" s="82"/>
      <c r="J146" s="82"/>
    </row>
    <row r="147" spans="1:10" ht="19.95" customHeight="1" x14ac:dyDescent="0.3">
      <c r="A147" s="56"/>
      <c r="B147" s="57"/>
      <c r="C147" s="57"/>
      <c r="D147" s="57"/>
      <c r="E147" s="57"/>
      <c r="F147" s="57"/>
      <c r="G147" s="81" t="str">
        <f t="shared" si="5"/>
        <v/>
      </c>
      <c r="H147" s="57"/>
      <c r="I147" s="57"/>
      <c r="J147" s="57"/>
    </row>
    <row r="148" spans="1:10" ht="19.95" customHeight="1" x14ac:dyDescent="0.3">
      <c r="A148" s="56"/>
      <c r="B148" s="82"/>
      <c r="C148" s="82"/>
      <c r="D148" s="82"/>
      <c r="E148" s="82"/>
      <c r="F148" s="82"/>
      <c r="G148" s="83" t="str">
        <f t="shared" si="5"/>
        <v/>
      </c>
      <c r="H148" s="82"/>
      <c r="I148" s="82"/>
      <c r="J148" s="82"/>
    </row>
    <row r="149" spans="1:10" ht="19.95" customHeight="1" x14ac:dyDescent="0.3">
      <c r="A149" s="56"/>
      <c r="B149" s="57"/>
      <c r="C149" s="57"/>
      <c r="D149" s="57"/>
      <c r="E149" s="57"/>
      <c r="F149" s="57"/>
      <c r="G149" s="81" t="str">
        <f t="shared" si="5"/>
        <v/>
      </c>
      <c r="H149" s="57"/>
      <c r="I149" s="57"/>
      <c r="J149" s="57"/>
    </row>
  </sheetData>
  <mergeCells count="5">
    <mergeCell ref="A1:J1"/>
    <mergeCell ref="D3:G3"/>
    <mergeCell ref="A3:C3"/>
    <mergeCell ref="A2:J2"/>
    <mergeCell ref="H3:J3"/>
  </mergeCells>
  <dataValidations count="2">
    <dataValidation type="list" allowBlank="1" sqref="C5:C200" xr:uid="{00000000-0002-0000-0700-000000000000}">
      <formula1>"Entrée,Sortie"</formula1>
    </dataValidation>
    <dataValidation type="list" allowBlank="1" sqref="I5:I200" xr:uid="{00000000-0002-0000-0700-000001000000}">
      <formula1>"Cotisation,Prêt octroyé,Remboursement,Pénalité,Frais divers,Don,Autre"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36C09"/>
  </sheetPr>
  <dimension ref="A1:I27"/>
  <sheetViews>
    <sheetView showGridLines="0" workbookViewId="0">
      <selection activeCell="E14" sqref="E14"/>
    </sheetView>
  </sheetViews>
  <sheetFormatPr baseColWidth="10" defaultColWidth="8.88671875" defaultRowHeight="14.4" x14ac:dyDescent="0.3"/>
  <cols>
    <col min="1" max="1" width="6" customWidth="1"/>
    <col min="2" max="2" width="8" customWidth="1"/>
    <col min="3" max="3" width="16" customWidth="1"/>
    <col min="4" max="4" width="22" customWidth="1"/>
    <col min="5" max="7" width="18" customWidth="1"/>
    <col min="8" max="8" width="16" customWidth="1"/>
    <col min="9" max="9" width="14" customWidth="1"/>
  </cols>
  <sheetData>
    <row r="1" spans="1:9" ht="40.049999999999997" customHeight="1" x14ac:dyDescent="0.3">
      <c r="A1" s="132" t="s">
        <v>159</v>
      </c>
      <c r="B1" s="105"/>
      <c r="C1" s="105"/>
      <c r="D1" s="105"/>
      <c r="E1" s="105"/>
      <c r="F1" s="105"/>
      <c r="G1" s="105"/>
      <c r="H1" s="105"/>
      <c r="I1" s="105"/>
    </row>
    <row r="2" spans="1:9" x14ac:dyDescent="0.3">
      <c r="A2" s="118" t="s">
        <v>125</v>
      </c>
      <c r="B2" s="105"/>
      <c r="C2" s="105"/>
      <c r="D2" s="105"/>
      <c r="E2" s="105"/>
      <c r="F2" s="105"/>
      <c r="G2" s="105"/>
      <c r="H2" s="105"/>
      <c r="I2" s="105"/>
    </row>
    <row r="3" spans="1:9" ht="30" customHeight="1" x14ac:dyDescent="0.3">
      <c r="A3" s="23" t="s">
        <v>126</v>
      </c>
      <c r="B3" s="23" t="s">
        <v>92</v>
      </c>
      <c r="C3" s="23" t="s">
        <v>42</v>
      </c>
      <c r="D3" s="23" t="s">
        <v>43</v>
      </c>
      <c r="E3" s="23" t="s">
        <v>69</v>
      </c>
      <c r="F3" s="23" t="s">
        <v>127</v>
      </c>
      <c r="G3" s="23" t="s">
        <v>128</v>
      </c>
      <c r="H3" s="23" t="s">
        <v>129</v>
      </c>
      <c r="I3" s="23" t="s">
        <v>50</v>
      </c>
    </row>
    <row r="4" spans="1:9" ht="22.05" customHeight="1" x14ac:dyDescent="0.3">
      <c r="A4" s="17">
        <v>1</v>
      </c>
      <c r="B4" s="17"/>
      <c r="C4" s="84"/>
      <c r="D4" s="84"/>
      <c r="E4" s="85"/>
      <c r="F4" s="86"/>
      <c r="G4" s="87"/>
      <c r="H4" s="88"/>
      <c r="I4" s="89" t="str">
        <f t="shared" ref="I4:I26" si="0">IF(F4&gt;0,"⚠️ Pénalités",IF(G4&gt;0,"🏦 Prêt actif","✅ À jour"))</f>
        <v>✅ À jour</v>
      </c>
    </row>
    <row r="5" spans="1:9" ht="22.05" customHeight="1" x14ac:dyDescent="0.3">
      <c r="A5" s="17">
        <v>2</v>
      </c>
      <c r="B5" s="17"/>
      <c r="C5" s="32"/>
      <c r="D5" s="32"/>
      <c r="E5" s="58"/>
      <c r="F5" s="90"/>
      <c r="G5" s="91"/>
      <c r="H5" s="92"/>
      <c r="I5" s="93" t="str">
        <f t="shared" si="0"/>
        <v>✅ À jour</v>
      </c>
    </row>
    <row r="6" spans="1:9" ht="22.05" customHeight="1" x14ac:dyDescent="0.3">
      <c r="A6" s="17">
        <v>3</v>
      </c>
      <c r="B6" s="17"/>
      <c r="C6" s="84"/>
      <c r="D6" s="84"/>
      <c r="E6" s="85"/>
      <c r="F6" s="86"/>
      <c r="G6" s="87"/>
      <c r="H6" s="88"/>
      <c r="I6" s="89" t="str">
        <f t="shared" si="0"/>
        <v>✅ À jour</v>
      </c>
    </row>
    <row r="7" spans="1:9" ht="22.05" customHeight="1" x14ac:dyDescent="0.3">
      <c r="A7" s="17">
        <v>4</v>
      </c>
      <c r="B7" s="17"/>
      <c r="C7" s="32"/>
      <c r="D7" s="32"/>
      <c r="E7" s="58"/>
      <c r="F7" s="90"/>
      <c r="G7" s="91"/>
      <c r="H7" s="92"/>
      <c r="I7" s="93" t="str">
        <f t="shared" si="0"/>
        <v>✅ À jour</v>
      </c>
    </row>
    <row r="8" spans="1:9" ht="22.05" customHeight="1" x14ac:dyDescent="0.3">
      <c r="A8" s="17">
        <v>5</v>
      </c>
      <c r="B8" s="17"/>
      <c r="C8" s="84"/>
      <c r="D8" s="84"/>
      <c r="E8" s="85"/>
      <c r="F8" s="86"/>
      <c r="G8" s="87"/>
      <c r="H8" s="88"/>
      <c r="I8" s="89" t="str">
        <f t="shared" si="0"/>
        <v>✅ À jour</v>
      </c>
    </row>
    <row r="9" spans="1:9" ht="22.05" customHeight="1" x14ac:dyDescent="0.3">
      <c r="A9" s="17">
        <v>6</v>
      </c>
      <c r="B9" s="17"/>
      <c r="C9" s="32"/>
      <c r="D9" s="32"/>
      <c r="E9" s="58"/>
      <c r="F9" s="90"/>
      <c r="G9" s="91"/>
      <c r="H9" s="92"/>
      <c r="I9" s="93" t="str">
        <f t="shared" si="0"/>
        <v>✅ À jour</v>
      </c>
    </row>
    <row r="10" spans="1:9" ht="22.05" customHeight="1" x14ac:dyDescent="0.3">
      <c r="A10" s="17">
        <v>7</v>
      </c>
      <c r="B10" s="17"/>
      <c r="C10" s="84"/>
      <c r="D10" s="84"/>
      <c r="E10" s="85"/>
      <c r="F10" s="86"/>
      <c r="G10" s="87"/>
      <c r="H10" s="88"/>
      <c r="I10" s="89" t="str">
        <f t="shared" si="0"/>
        <v>✅ À jour</v>
      </c>
    </row>
    <row r="11" spans="1:9" ht="22.05" customHeight="1" x14ac:dyDescent="0.3">
      <c r="A11" s="17">
        <v>8</v>
      </c>
      <c r="B11" s="17"/>
      <c r="C11" s="32"/>
      <c r="D11" s="32"/>
      <c r="E11" s="58"/>
      <c r="F11" s="90"/>
      <c r="G11" s="91"/>
      <c r="H11" s="92"/>
      <c r="I11" s="93" t="str">
        <f t="shared" si="0"/>
        <v>✅ À jour</v>
      </c>
    </row>
    <row r="12" spans="1:9" ht="22.05" customHeight="1" x14ac:dyDescent="0.3">
      <c r="A12" s="17">
        <v>9</v>
      </c>
      <c r="B12" s="17"/>
      <c r="C12" s="84"/>
      <c r="D12" s="84"/>
      <c r="E12" s="85"/>
      <c r="F12" s="86"/>
      <c r="G12" s="87"/>
      <c r="H12" s="88"/>
      <c r="I12" s="89" t="str">
        <f t="shared" si="0"/>
        <v>✅ À jour</v>
      </c>
    </row>
    <row r="13" spans="1:9" ht="22.05" customHeight="1" x14ac:dyDescent="0.3">
      <c r="A13" s="17">
        <v>10</v>
      </c>
      <c r="B13" s="17"/>
      <c r="C13" s="32"/>
      <c r="D13" s="32"/>
      <c r="E13" s="58"/>
      <c r="F13" s="90"/>
      <c r="G13" s="91"/>
      <c r="H13" s="92"/>
      <c r="I13" s="93" t="str">
        <f t="shared" si="0"/>
        <v>✅ À jour</v>
      </c>
    </row>
    <row r="14" spans="1:9" ht="22.05" customHeight="1" x14ac:dyDescent="0.3">
      <c r="A14" s="17">
        <v>11</v>
      </c>
      <c r="B14" s="17"/>
      <c r="C14" s="84"/>
      <c r="D14" s="84"/>
      <c r="E14" s="85"/>
      <c r="F14" s="86"/>
      <c r="G14" s="87"/>
      <c r="H14" s="88"/>
      <c r="I14" s="89" t="str">
        <f t="shared" si="0"/>
        <v>✅ À jour</v>
      </c>
    </row>
    <row r="15" spans="1:9" ht="22.05" customHeight="1" x14ac:dyDescent="0.3">
      <c r="A15" s="17">
        <v>12</v>
      </c>
      <c r="B15" s="17"/>
      <c r="C15" s="32"/>
      <c r="D15" s="32"/>
      <c r="E15" s="58"/>
      <c r="F15" s="90"/>
      <c r="G15" s="91"/>
      <c r="H15" s="92"/>
      <c r="I15" s="93" t="str">
        <f t="shared" si="0"/>
        <v>✅ À jour</v>
      </c>
    </row>
    <row r="16" spans="1:9" ht="22.05" customHeight="1" x14ac:dyDescent="0.3">
      <c r="A16" s="17">
        <v>13</v>
      </c>
      <c r="B16" s="17"/>
      <c r="C16" s="84"/>
      <c r="D16" s="84"/>
      <c r="E16" s="85"/>
      <c r="F16" s="86"/>
      <c r="G16" s="87"/>
      <c r="H16" s="88"/>
      <c r="I16" s="89" t="str">
        <f t="shared" si="0"/>
        <v>✅ À jour</v>
      </c>
    </row>
    <row r="17" spans="1:9" ht="22.05" customHeight="1" x14ac:dyDescent="0.3">
      <c r="A17" s="17">
        <v>14</v>
      </c>
      <c r="B17" s="17"/>
      <c r="C17" s="32"/>
      <c r="D17" s="32"/>
      <c r="E17" s="58"/>
      <c r="F17" s="90"/>
      <c r="G17" s="91"/>
      <c r="H17" s="92"/>
      <c r="I17" s="93" t="str">
        <f t="shared" si="0"/>
        <v>✅ À jour</v>
      </c>
    </row>
    <row r="18" spans="1:9" ht="22.05" customHeight="1" x14ac:dyDescent="0.3">
      <c r="A18" s="17">
        <v>15</v>
      </c>
      <c r="B18" s="17"/>
      <c r="C18" s="84"/>
      <c r="D18" s="84"/>
      <c r="E18" s="85"/>
      <c r="F18" s="86"/>
      <c r="G18" s="87"/>
      <c r="H18" s="88"/>
      <c r="I18" s="89" t="str">
        <f t="shared" si="0"/>
        <v>✅ À jour</v>
      </c>
    </row>
    <row r="19" spans="1:9" ht="22.05" customHeight="1" x14ac:dyDescent="0.3">
      <c r="A19" s="17">
        <v>16</v>
      </c>
      <c r="B19" s="17"/>
      <c r="C19" s="32"/>
      <c r="D19" s="32"/>
      <c r="E19" s="58"/>
      <c r="F19" s="90"/>
      <c r="G19" s="91"/>
      <c r="H19" s="92"/>
      <c r="I19" s="93" t="str">
        <f t="shared" si="0"/>
        <v>✅ À jour</v>
      </c>
    </row>
    <row r="20" spans="1:9" ht="22.05" customHeight="1" x14ac:dyDescent="0.3">
      <c r="A20" s="17">
        <v>17</v>
      </c>
      <c r="B20" s="17"/>
      <c r="C20" s="84"/>
      <c r="D20" s="84"/>
      <c r="E20" s="85"/>
      <c r="F20" s="86"/>
      <c r="G20" s="87"/>
      <c r="H20" s="88"/>
      <c r="I20" s="89" t="str">
        <f t="shared" si="0"/>
        <v>✅ À jour</v>
      </c>
    </row>
    <row r="21" spans="1:9" ht="22.05" customHeight="1" x14ac:dyDescent="0.3">
      <c r="A21" s="17">
        <v>18</v>
      </c>
      <c r="B21" s="17"/>
      <c r="C21" s="32"/>
      <c r="D21" s="32"/>
      <c r="E21" s="58"/>
      <c r="F21" s="90"/>
      <c r="G21" s="91"/>
      <c r="H21" s="92"/>
      <c r="I21" s="93" t="str">
        <f t="shared" si="0"/>
        <v>✅ À jour</v>
      </c>
    </row>
    <row r="22" spans="1:9" ht="22.05" customHeight="1" x14ac:dyDescent="0.3">
      <c r="A22" s="17">
        <v>19</v>
      </c>
      <c r="B22" s="17"/>
      <c r="C22" s="84"/>
      <c r="D22" s="84"/>
      <c r="E22" s="85"/>
      <c r="F22" s="86"/>
      <c r="G22" s="87"/>
      <c r="H22" s="88"/>
      <c r="I22" s="89" t="str">
        <f t="shared" si="0"/>
        <v>✅ À jour</v>
      </c>
    </row>
    <row r="23" spans="1:9" ht="22.05" customHeight="1" x14ac:dyDescent="0.3">
      <c r="A23" s="17">
        <v>20</v>
      </c>
      <c r="B23" s="17"/>
      <c r="C23" s="32"/>
      <c r="D23" s="32"/>
      <c r="E23" s="58"/>
      <c r="F23" s="90"/>
      <c r="G23" s="91"/>
      <c r="H23" s="92"/>
      <c r="I23" s="93" t="str">
        <f t="shared" si="0"/>
        <v>✅ À jour</v>
      </c>
    </row>
    <row r="24" spans="1:9" ht="22.05" customHeight="1" x14ac:dyDescent="0.3">
      <c r="A24" s="17">
        <v>21</v>
      </c>
      <c r="B24" s="17"/>
      <c r="C24" s="84"/>
      <c r="D24" s="84"/>
      <c r="E24" s="85"/>
      <c r="F24" s="86"/>
      <c r="G24" s="87"/>
      <c r="H24" s="88"/>
      <c r="I24" s="89" t="str">
        <f t="shared" si="0"/>
        <v>✅ À jour</v>
      </c>
    </row>
    <row r="25" spans="1:9" ht="22.05" customHeight="1" x14ac:dyDescent="0.3">
      <c r="A25" s="17">
        <v>22</v>
      </c>
      <c r="B25" s="17"/>
      <c r="C25" s="32"/>
      <c r="D25" s="32"/>
      <c r="E25" s="58"/>
      <c r="F25" s="90"/>
      <c r="G25" s="91"/>
      <c r="H25" s="92"/>
      <c r="I25" s="93" t="str">
        <f t="shared" si="0"/>
        <v>✅ À jour</v>
      </c>
    </row>
    <row r="26" spans="1:9" ht="22.05" customHeight="1" x14ac:dyDescent="0.3">
      <c r="A26" s="17">
        <v>23</v>
      </c>
      <c r="B26" s="17"/>
      <c r="C26" s="84"/>
      <c r="D26" s="84"/>
      <c r="E26" s="85"/>
      <c r="F26" s="86"/>
      <c r="G26" s="87"/>
      <c r="H26" s="88"/>
      <c r="I26" s="89" t="str">
        <f t="shared" si="0"/>
        <v>✅ À jour</v>
      </c>
    </row>
    <row r="27" spans="1:9" ht="28.05" customHeight="1" x14ac:dyDescent="0.3">
      <c r="A27" s="120" t="s">
        <v>130</v>
      </c>
      <c r="B27" s="105"/>
      <c r="C27" s="105"/>
      <c r="D27" s="105"/>
      <c r="E27" s="37">
        <f>SUM(E4:E26)</f>
        <v>0</v>
      </c>
      <c r="F27" s="37">
        <f>SUM(F4:F26)</f>
        <v>0</v>
      </c>
      <c r="G27" s="37">
        <f>SUM(G4:G26)</f>
        <v>0</v>
      </c>
      <c r="H27" s="37">
        <f>SUM(H4:H26)</f>
        <v>0</v>
      </c>
      <c r="I27" s="35"/>
    </row>
  </sheetData>
  <mergeCells count="3">
    <mergeCell ref="A1:I1"/>
    <mergeCell ref="A27:D27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9A84C"/>
  </sheetPr>
  <dimension ref="A1:L40"/>
  <sheetViews>
    <sheetView showGridLines="0" topLeftCell="A26" workbookViewId="0">
      <selection activeCell="E15" sqref="E15"/>
    </sheetView>
  </sheetViews>
  <sheetFormatPr baseColWidth="10" defaultColWidth="8.88671875" defaultRowHeight="14.4" x14ac:dyDescent="0.3"/>
  <cols>
    <col min="1" max="12" width="16" customWidth="1"/>
  </cols>
  <sheetData>
    <row r="1" spans="1:12" ht="55.05" customHeight="1" x14ac:dyDescent="0.3">
      <c r="A1" s="136" t="s">
        <v>158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25.05" customHeight="1" x14ac:dyDescent="0.3">
      <c r="A2" s="142" t="s">
        <v>131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ht="15" customHeight="1" x14ac:dyDescent="0.3"/>
    <row r="4" spans="1:12" ht="22.05" customHeight="1" x14ac:dyDescent="0.3">
      <c r="A4" s="144" t="s">
        <v>132</v>
      </c>
      <c r="B4" s="105"/>
      <c r="C4" s="105"/>
      <c r="D4" s="145" t="s">
        <v>133</v>
      </c>
      <c r="E4" s="105"/>
      <c r="F4" s="105"/>
      <c r="G4" s="150" t="s">
        <v>134</v>
      </c>
      <c r="H4" s="105"/>
      <c r="I4" s="105"/>
      <c r="J4" s="155" t="s">
        <v>135</v>
      </c>
      <c r="K4" s="105"/>
      <c r="L4" s="105"/>
    </row>
    <row r="5" spans="1:12" ht="40.049999999999997" customHeight="1" x14ac:dyDescent="0.3">
      <c r="A5" s="143">
        <f>'🏧 CAISSE'!G14</f>
        <v>0</v>
      </c>
      <c r="B5" s="105"/>
      <c r="C5" s="105"/>
      <c r="D5" s="147">
        <f>'💰 COTISATIONS'!BE28</f>
        <v>0</v>
      </c>
      <c r="E5" s="105"/>
      <c r="F5" s="105"/>
      <c r="G5" s="139">
        <f>'🏦 PRÊTS'!F35</f>
        <v>0</v>
      </c>
      <c r="H5" s="105"/>
      <c r="I5" s="105"/>
      <c r="J5" s="151">
        <f>'🏦 PRÊTS'!J35</f>
        <v>0</v>
      </c>
      <c r="K5" s="105"/>
      <c r="L5" s="105"/>
    </row>
    <row r="6" spans="1:12" ht="19.95" customHeight="1" x14ac:dyDescent="0.3">
      <c r="A6" s="109"/>
      <c r="B6" s="105"/>
      <c r="C6" s="105"/>
      <c r="D6" s="140"/>
      <c r="E6" s="105"/>
      <c r="F6" s="105"/>
      <c r="G6" s="152"/>
      <c r="H6" s="105"/>
      <c r="I6" s="105"/>
      <c r="J6" s="156"/>
      <c r="K6" s="105"/>
      <c r="L6" s="105"/>
    </row>
    <row r="8" spans="1:12" ht="22.05" customHeight="1" x14ac:dyDescent="0.3">
      <c r="A8" s="144" t="s">
        <v>136</v>
      </c>
      <c r="B8" s="105"/>
      <c r="C8" s="105"/>
      <c r="D8" s="145" t="s">
        <v>137</v>
      </c>
      <c r="E8" s="105"/>
      <c r="F8" s="105"/>
      <c r="G8" s="137" t="s">
        <v>138</v>
      </c>
      <c r="H8" s="105"/>
      <c r="I8" s="105"/>
      <c r="J8" s="150" t="s">
        <v>139</v>
      </c>
      <c r="K8" s="105"/>
      <c r="L8" s="105"/>
    </row>
    <row r="9" spans="1:12" ht="40.049999999999997" customHeight="1" x14ac:dyDescent="0.3">
      <c r="A9" s="148">
        <f>'👥 MEMBRES'!J28</f>
        <v>23</v>
      </c>
      <c r="B9" s="105"/>
      <c r="C9" s="105"/>
      <c r="D9" s="154">
        <f>'⚙️ PARAMÈTRES'!B4</f>
        <v>0.12</v>
      </c>
      <c r="E9" s="105"/>
      <c r="F9" s="105"/>
      <c r="G9" s="149">
        <f>'⚠️ PÉNALITÉS'!I60</f>
        <v>0</v>
      </c>
      <c r="H9" s="105"/>
      <c r="I9" s="105"/>
      <c r="J9" s="139">
        <f>'🏦 PRÊTS'!K35</f>
        <v>0</v>
      </c>
      <c r="K9" s="105"/>
      <c r="L9" s="105"/>
    </row>
    <row r="10" spans="1:12" ht="19.95" customHeight="1" x14ac:dyDescent="0.3">
      <c r="A10" s="109"/>
      <c r="B10" s="105"/>
      <c r="C10" s="105"/>
      <c r="D10" s="140"/>
      <c r="E10" s="105"/>
      <c r="F10" s="105"/>
      <c r="G10" s="157"/>
      <c r="H10" s="105"/>
      <c r="I10" s="105"/>
      <c r="J10" s="152"/>
      <c r="K10" s="105"/>
      <c r="L10" s="105"/>
    </row>
    <row r="11" spans="1:12" ht="19.95" customHeight="1" x14ac:dyDescent="0.3">
      <c r="A11" s="153" t="s">
        <v>140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1:12" ht="28.05" customHeight="1" x14ac:dyDescent="0.3">
      <c r="A12" s="16" t="s">
        <v>141</v>
      </c>
      <c r="B12" s="16" t="s">
        <v>42</v>
      </c>
      <c r="C12" s="16" t="s">
        <v>43</v>
      </c>
      <c r="D12" s="16" t="s">
        <v>142</v>
      </c>
      <c r="E12" s="16" t="s">
        <v>143</v>
      </c>
      <c r="F12" s="16" t="s">
        <v>144</v>
      </c>
      <c r="G12" s="16" t="s">
        <v>145</v>
      </c>
      <c r="H12" s="16" t="s">
        <v>50</v>
      </c>
      <c r="I12" s="109"/>
      <c r="J12" s="105"/>
      <c r="K12" s="105"/>
      <c r="L12" s="105"/>
    </row>
    <row r="13" spans="1:12" ht="19.95" customHeight="1" x14ac:dyDescent="0.3">
      <c r="A13" s="17">
        <v>1</v>
      </c>
      <c r="B13" s="84">
        <f>'📋 SOLDE MEMBRES'!C4</f>
        <v>0</v>
      </c>
      <c r="C13" s="84">
        <f>'📋 SOLDE MEMBRES'!D4</f>
        <v>0</v>
      </c>
      <c r="D13" s="94">
        <f>'📋 SOLDE MEMBRES'!E4</f>
        <v>0</v>
      </c>
      <c r="E13" s="95">
        <f>'📋 SOLDE MEMBRES'!F4</f>
        <v>0</v>
      </c>
      <c r="F13" s="95">
        <f>'📋 SOLDE MEMBRES'!G4</f>
        <v>0</v>
      </c>
      <c r="G13" s="95">
        <f>'📋 SOLDE MEMBRES'!H4</f>
        <v>0</v>
      </c>
      <c r="H13" s="84" t="str">
        <f>'📋 SOLDE MEMBRES'!I4</f>
        <v>✅ À jour</v>
      </c>
      <c r="I13" s="141"/>
      <c r="J13" s="105"/>
      <c r="K13" s="105"/>
      <c r="L13" s="105"/>
    </row>
    <row r="14" spans="1:12" ht="19.95" customHeight="1" x14ac:dyDescent="0.3">
      <c r="A14" s="17">
        <v>2</v>
      </c>
      <c r="B14" s="32">
        <f>'📋 SOLDE MEMBRES'!C5</f>
        <v>0</v>
      </c>
      <c r="C14" s="32">
        <f>'📋 SOLDE MEMBRES'!D5</f>
        <v>0</v>
      </c>
      <c r="D14" s="96">
        <f>'📋 SOLDE MEMBRES'!E5</f>
        <v>0</v>
      </c>
      <c r="E14" s="39">
        <f>'📋 SOLDE MEMBRES'!F5</f>
        <v>0</v>
      </c>
      <c r="F14" s="39">
        <f>'📋 SOLDE MEMBRES'!G5</f>
        <v>0</v>
      </c>
      <c r="G14" s="39">
        <f>'📋 SOLDE MEMBRES'!H5</f>
        <v>0</v>
      </c>
      <c r="H14" s="32" t="str">
        <f>'📋 SOLDE MEMBRES'!I5</f>
        <v>✅ À jour</v>
      </c>
      <c r="I14" s="138"/>
      <c r="J14" s="105"/>
      <c r="K14" s="105"/>
      <c r="L14" s="105"/>
    </row>
    <row r="15" spans="1:12" ht="19.95" customHeight="1" x14ac:dyDescent="0.3">
      <c r="A15" s="17">
        <v>3</v>
      </c>
      <c r="B15" s="84">
        <f>'📋 SOLDE MEMBRES'!C6</f>
        <v>0</v>
      </c>
      <c r="C15" s="84">
        <f>'📋 SOLDE MEMBRES'!D6</f>
        <v>0</v>
      </c>
      <c r="D15" s="94">
        <f>'📋 SOLDE MEMBRES'!E6</f>
        <v>0</v>
      </c>
      <c r="E15" s="95">
        <f>'📋 SOLDE MEMBRES'!F6</f>
        <v>0</v>
      </c>
      <c r="F15" s="95">
        <f>'📋 SOLDE MEMBRES'!G6</f>
        <v>0</v>
      </c>
      <c r="G15" s="95">
        <f>'📋 SOLDE MEMBRES'!H6</f>
        <v>0</v>
      </c>
      <c r="H15" s="84" t="str">
        <f>'📋 SOLDE MEMBRES'!I6</f>
        <v>✅ À jour</v>
      </c>
      <c r="I15" s="141"/>
      <c r="J15" s="105"/>
      <c r="K15" s="105"/>
      <c r="L15" s="105"/>
    </row>
    <row r="16" spans="1:12" ht="19.95" customHeight="1" x14ac:dyDescent="0.3">
      <c r="A16" s="17">
        <v>4</v>
      </c>
      <c r="B16" s="32">
        <f>'📋 SOLDE MEMBRES'!C7</f>
        <v>0</v>
      </c>
      <c r="C16" s="32">
        <f>'📋 SOLDE MEMBRES'!D7</f>
        <v>0</v>
      </c>
      <c r="D16" s="96">
        <f>'📋 SOLDE MEMBRES'!E7</f>
        <v>0</v>
      </c>
      <c r="E16" s="39">
        <f>'📋 SOLDE MEMBRES'!F7</f>
        <v>0</v>
      </c>
      <c r="F16" s="39">
        <f>'📋 SOLDE MEMBRES'!G7</f>
        <v>0</v>
      </c>
      <c r="G16" s="39">
        <f>'📋 SOLDE MEMBRES'!H7</f>
        <v>0</v>
      </c>
      <c r="H16" s="32" t="str">
        <f>'📋 SOLDE MEMBRES'!I7</f>
        <v>✅ À jour</v>
      </c>
      <c r="I16" s="138"/>
      <c r="J16" s="105"/>
      <c r="K16" s="105"/>
      <c r="L16" s="105"/>
    </row>
    <row r="17" spans="1:12" ht="19.95" customHeight="1" x14ac:dyDescent="0.3">
      <c r="A17" s="17">
        <v>5</v>
      </c>
      <c r="B17" s="84">
        <f>'📋 SOLDE MEMBRES'!C8</f>
        <v>0</v>
      </c>
      <c r="C17" s="84">
        <f>'📋 SOLDE MEMBRES'!D8</f>
        <v>0</v>
      </c>
      <c r="D17" s="94">
        <f>'📋 SOLDE MEMBRES'!E8</f>
        <v>0</v>
      </c>
      <c r="E17" s="95">
        <f>'📋 SOLDE MEMBRES'!F8</f>
        <v>0</v>
      </c>
      <c r="F17" s="95">
        <f>'📋 SOLDE MEMBRES'!G8</f>
        <v>0</v>
      </c>
      <c r="G17" s="95">
        <f>'📋 SOLDE MEMBRES'!H8</f>
        <v>0</v>
      </c>
      <c r="H17" s="84" t="str">
        <f>'📋 SOLDE MEMBRES'!I8</f>
        <v>✅ À jour</v>
      </c>
      <c r="I17" s="141"/>
      <c r="J17" s="105"/>
      <c r="K17" s="105"/>
      <c r="L17" s="105"/>
    </row>
    <row r="18" spans="1:12" ht="19.95" customHeight="1" x14ac:dyDescent="0.3">
      <c r="A18" s="17">
        <v>6</v>
      </c>
      <c r="B18" s="32">
        <f>'📋 SOLDE MEMBRES'!C9</f>
        <v>0</v>
      </c>
      <c r="C18" s="32">
        <f>'📋 SOLDE MEMBRES'!D9</f>
        <v>0</v>
      </c>
      <c r="D18" s="96">
        <f>'📋 SOLDE MEMBRES'!E9</f>
        <v>0</v>
      </c>
      <c r="E18" s="39">
        <f>'📋 SOLDE MEMBRES'!F9</f>
        <v>0</v>
      </c>
      <c r="F18" s="39">
        <f>'📋 SOLDE MEMBRES'!G9</f>
        <v>0</v>
      </c>
      <c r="G18" s="39">
        <f>'📋 SOLDE MEMBRES'!H9</f>
        <v>0</v>
      </c>
      <c r="H18" s="32" t="str">
        <f>'📋 SOLDE MEMBRES'!I9</f>
        <v>✅ À jour</v>
      </c>
      <c r="I18" s="138"/>
      <c r="J18" s="105"/>
      <c r="K18" s="105"/>
      <c r="L18" s="105"/>
    </row>
    <row r="19" spans="1:12" ht="19.95" customHeight="1" x14ac:dyDescent="0.3">
      <c r="A19" s="17">
        <v>7</v>
      </c>
      <c r="B19" s="84">
        <f>'📋 SOLDE MEMBRES'!C10</f>
        <v>0</v>
      </c>
      <c r="C19" s="84">
        <f>'📋 SOLDE MEMBRES'!D10</f>
        <v>0</v>
      </c>
      <c r="D19" s="94">
        <f>'📋 SOLDE MEMBRES'!E10</f>
        <v>0</v>
      </c>
      <c r="E19" s="95">
        <f>'📋 SOLDE MEMBRES'!F10</f>
        <v>0</v>
      </c>
      <c r="F19" s="95">
        <f>'📋 SOLDE MEMBRES'!G10</f>
        <v>0</v>
      </c>
      <c r="G19" s="95">
        <f>'📋 SOLDE MEMBRES'!H10</f>
        <v>0</v>
      </c>
      <c r="H19" s="84" t="str">
        <f>'📋 SOLDE MEMBRES'!I10</f>
        <v>✅ À jour</v>
      </c>
      <c r="I19" s="141"/>
      <c r="J19" s="105"/>
      <c r="K19" s="105"/>
      <c r="L19" s="105"/>
    </row>
    <row r="20" spans="1:12" ht="19.95" customHeight="1" x14ac:dyDescent="0.3">
      <c r="A20" s="17">
        <v>8</v>
      </c>
      <c r="B20" s="32">
        <f>'📋 SOLDE MEMBRES'!C11</f>
        <v>0</v>
      </c>
      <c r="C20" s="32">
        <f>'📋 SOLDE MEMBRES'!D11</f>
        <v>0</v>
      </c>
      <c r="D20" s="96">
        <f>'📋 SOLDE MEMBRES'!E11</f>
        <v>0</v>
      </c>
      <c r="E20" s="39">
        <f>'📋 SOLDE MEMBRES'!F11</f>
        <v>0</v>
      </c>
      <c r="F20" s="39">
        <f>'📋 SOLDE MEMBRES'!G11</f>
        <v>0</v>
      </c>
      <c r="G20" s="39">
        <f>'📋 SOLDE MEMBRES'!H11</f>
        <v>0</v>
      </c>
      <c r="H20" s="32" t="str">
        <f>'📋 SOLDE MEMBRES'!I11</f>
        <v>✅ À jour</v>
      </c>
      <c r="I20" s="138"/>
      <c r="J20" s="105"/>
      <c r="K20" s="105"/>
      <c r="L20" s="105"/>
    </row>
    <row r="21" spans="1:12" ht="19.95" customHeight="1" x14ac:dyDescent="0.3">
      <c r="A21" s="17">
        <v>9</v>
      </c>
      <c r="B21" s="84">
        <f>'📋 SOLDE MEMBRES'!C12</f>
        <v>0</v>
      </c>
      <c r="C21" s="84">
        <f>'📋 SOLDE MEMBRES'!D12</f>
        <v>0</v>
      </c>
      <c r="D21" s="94">
        <f>'📋 SOLDE MEMBRES'!E12</f>
        <v>0</v>
      </c>
      <c r="E21" s="95">
        <f>'📋 SOLDE MEMBRES'!F12</f>
        <v>0</v>
      </c>
      <c r="F21" s="95">
        <f>'📋 SOLDE MEMBRES'!G12</f>
        <v>0</v>
      </c>
      <c r="G21" s="95">
        <f>'📋 SOLDE MEMBRES'!H12</f>
        <v>0</v>
      </c>
      <c r="H21" s="84" t="str">
        <f>'📋 SOLDE MEMBRES'!I12</f>
        <v>✅ À jour</v>
      </c>
      <c r="I21" s="141"/>
      <c r="J21" s="105"/>
      <c r="K21" s="105"/>
      <c r="L21" s="105"/>
    </row>
    <row r="22" spans="1:12" ht="19.95" customHeight="1" x14ac:dyDescent="0.3">
      <c r="A22" s="17">
        <v>10</v>
      </c>
      <c r="B22" s="32">
        <f>'📋 SOLDE MEMBRES'!C13</f>
        <v>0</v>
      </c>
      <c r="C22" s="32">
        <f>'📋 SOLDE MEMBRES'!D13</f>
        <v>0</v>
      </c>
      <c r="D22" s="96">
        <f>'📋 SOLDE MEMBRES'!E13</f>
        <v>0</v>
      </c>
      <c r="E22" s="39">
        <f>'📋 SOLDE MEMBRES'!F13</f>
        <v>0</v>
      </c>
      <c r="F22" s="39">
        <f>'📋 SOLDE MEMBRES'!G13</f>
        <v>0</v>
      </c>
      <c r="G22" s="39">
        <f>'📋 SOLDE MEMBRES'!H13</f>
        <v>0</v>
      </c>
      <c r="H22" s="32" t="str">
        <f>'📋 SOLDE MEMBRES'!I13</f>
        <v>✅ À jour</v>
      </c>
      <c r="I22" s="138"/>
      <c r="J22" s="105"/>
      <c r="K22" s="105"/>
      <c r="L22" s="105"/>
    </row>
    <row r="23" spans="1:12" ht="19.95" customHeight="1" x14ac:dyDescent="0.3">
      <c r="A23" s="17">
        <v>11</v>
      </c>
      <c r="B23" s="84">
        <f>'📋 SOLDE MEMBRES'!C14</f>
        <v>0</v>
      </c>
      <c r="C23" s="84">
        <f>'📋 SOLDE MEMBRES'!D14</f>
        <v>0</v>
      </c>
      <c r="D23" s="94">
        <f>'📋 SOLDE MEMBRES'!E14</f>
        <v>0</v>
      </c>
      <c r="E23" s="95">
        <f>'📋 SOLDE MEMBRES'!F14</f>
        <v>0</v>
      </c>
      <c r="F23" s="95">
        <f>'📋 SOLDE MEMBRES'!G14</f>
        <v>0</v>
      </c>
      <c r="G23" s="95">
        <f>'📋 SOLDE MEMBRES'!H14</f>
        <v>0</v>
      </c>
      <c r="H23" s="84" t="str">
        <f>'📋 SOLDE MEMBRES'!I14</f>
        <v>✅ À jour</v>
      </c>
      <c r="I23" s="141"/>
      <c r="J23" s="105"/>
      <c r="K23" s="105"/>
      <c r="L23" s="105"/>
    </row>
    <row r="24" spans="1:12" ht="19.95" customHeight="1" x14ac:dyDescent="0.3">
      <c r="A24" s="17">
        <v>12</v>
      </c>
      <c r="B24" s="32">
        <f>'📋 SOLDE MEMBRES'!C15</f>
        <v>0</v>
      </c>
      <c r="C24" s="32">
        <f>'📋 SOLDE MEMBRES'!D15</f>
        <v>0</v>
      </c>
      <c r="D24" s="96">
        <f>'📋 SOLDE MEMBRES'!E15</f>
        <v>0</v>
      </c>
      <c r="E24" s="39">
        <f>'📋 SOLDE MEMBRES'!F15</f>
        <v>0</v>
      </c>
      <c r="F24" s="39">
        <f>'📋 SOLDE MEMBRES'!G15</f>
        <v>0</v>
      </c>
      <c r="G24" s="39">
        <f>'📋 SOLDE MEMBRES'!H15</f>
        <v>0</v>
      </c>
      <c r="H24" s="32" t="str">
        <f>'📋 SOLDE MEMBRES'!I15</f>
        <v>✅ À jour</v>
      </c>
      <c r="I24" s="138"/>
      <c r="J24" s="105"/>
      <c r="K24" s="105"/>
      <c r="L24" s="105"/>
    </row>
    <row r="25" spans="1:12" ht="19.95" customHeight="1" x14ac:dyDescent="0.3">
      <c r="A25" s="17">
        <v>13</v>
      </c>
      <c r="B25" s="84">
        <f>'📋 SOLDE MEMBRES'!C16</f>
        <v>0</v>
      </c>
      <c r="C25" s="84">
        <f>'📋 SOLDE MEMBRES'!D16</f>
        <v>0</v>
      </c>
      <c r="D25" s="94">
        <f>'📋 SOLDE MEMBRES'!E16</f>
        <v>0</v>
      </c>
      <c r="E25" s="95">
        <f>'📋 SOLDE MEMBRES'!F16</f>
        <v>0</v>
      </c>
      <c r="F25" s="95">
        <f>'📋 SOLDE MEMBRES'!G16</f>
        <v>0</v>
      </c>
      <c r="G25" s="95">
        <f>'📋 SOLDE MEMBRES'!H16</f>
        <v>0</v>
      </c>
      <c r="H25" s="84" t="str">
        <f>'📋 SOLDE MEMBRES'!I16</f>
        <v>✅ À jour</v>
      </c>
      <c r="I25" s="141"/>
      <c r="J25" s="105"/>
      <c r="K25" s="105"/>
      <c r="L25" s="105"/>
    </row>
    <row r="26" spans="1:12" ht="19.95" customHeight="1" x14ac:dyDescent="0.3">
      <c r="A26" s="17">
        <v>14</v>
      </c>
      <c r="B26" s="32">
        <f>'📋 SOLDE MEMBRES'!C17</f>
        <v>0</v>
      </c>
      <c r="C26" s="32">
        <f>'📋 SOLDE MEMBRES'!D17</f>
        <v>0</v>
      </c>
      <c r="D26" s="96">
        <f>'📋 SOLDE MEMBRES'!E17</f>
        <v>0</v>
      </c>
      <c r="E26" s="39">
        <f>'📋 SOLDE MEMBRES'!F17</f>
        <v>0</v>
      </c>
      <c r="F26" s="39">
        <f>'📋 SOLDE MEMBRES'!G17</f>
        <v>0</v>
      </c>
      <c r="G26" s="39">
        <f>'📋 SOLDE MEMBRES'!H17</f>
        <v>0</v>
      </c>
      <c r="H26" s="32" t="str">
        <f>'📋 SOLDE MEMBRES'!I17</f>
        <v>✅ À jour</v>
      </c>
      <c r="I26" s="138"/>
      <c r="J26" s="105"/>
      <c r="K26" s="105"/>
      <c r="L26" s="105"/>
    </row>
    <row r="27" spans="1:12" ht="19.95" customHeight="1" x14ac:dyDescent="0.3">
      <c r="A27" s="17">
        <v>15</v>
      </c>
      <c r="B27" s="84">
        <f>'📋 SOLDE MEMBRES'!C18</f>
        <v>0</v>
      </c>
      <c r="C27" s="84">
        <f>'📋 SOLDE MEMBRES'!D18</f>
        <v>0</v>
      </c>
      <c r="D27" s="94">
        <f>'📋 SOLDE MEMBRES'!E18</f>
        <v>0</v>
      </c>
      <c r="E27" s="95">
        <f>'📋 SOLDE MEMBRES'!F18</f>
        <v>0</v>
      </c>
      <c r="F27" s="95">
        <f>'📋 SOLDE MEMBRES'!G18</f>
        <v>0</v>
      </c>
      <c r="G27" s="95">
        <f>'📋 SOLDE MEMBRES'!H18</f>
        <v>0</v>
      </c>
      <c r="H27" s="84" t="str">
        <f>'📋 SOLDE MEMBRES'!I18</f>
        <v>✅ À jour</v>
      </c>
      <c r="I27" s="141"/>
      <c r="J27" s="105"/>
      <c r="K27" s="105"/>
      <c r="L27" s="105"/>
    </row>
    <row r="28" spans="1:12" ht="19.95" customHeight="1" x14ac:dyDescent="0.3">
      <c r="A28" s="17">
        <v>16</v>
      </c>
      <c r="B28" s="32">
        <f>'📋 SOLDE MEMBRES'!C19</f>
        <v>0</v>
      </c>
      <c r="C28" s="32">
        <f>'📋 SOLDE MEMBRES'!D19</f>
        <v>0</v>
      </c>
      <c r="D28" s="96">
        <f>'📋 SOLDE MEMBRES'!E19</f>
        <v>0</v>
      </c>
      <c r="E28" s="39">
        <f>'📋 SOLDE MEMBRES'!F19</f>
        <v>0</v>
      </c>
      <c r="F28" s="39">
        <f>'📋 SOLDE MEMBRES'!G19</f>
        <v>0</v>
      </c>
      <c r="G28" s="39">
        <f>'📋 SOLDE MEMBRES'!H19</f>
        <v>0</v>
      </c>
      <c r="H28" s="32" t="str">
        <f>'📋 SOLDE MEMBRES'!I19</f>
        <v>✅ À jour</v>
      </c>
      <c r="I28" s="138"/>
      <c r="J28" s="105"/>
      <c r="K28" s="105"/>
      <c r="L28" s="105"/>
    </row>
    <row r="29" spans="1:12" ht="19.95" customHeight="1" x14ac:dyDescent="0.3">
      <c r="A29" s="17">
        <v>17</v>
      </c>
      <c r="B29" s="84">
        <f>'📋 SOLDE MEMBRES'!C20</f>
        <v>0</v>
      </c>
      <c r="C29" s="84">
        <f>'📋 SOLDE MEMBRES'!D20</f>
        <v>0</v>
      </c>
      <c r="D29" s="94">
        <f>'📋 SOLDE MEMBRES'!E20</f>
        <v>0</v>
      </c>
      <c r="E29" s="95">
        <f>'📋 SOLDE MEMBRES'!F20</f>
        <v>0</v>
      </c>
      <c r="F29" s="95">
        <f>'📋 SOLDE MEMBRES'!G20</f>
        <v>0</v>
      </c>
      <c r="G29" s="95">
        <f>'📋 SOLDE MEMBRES'!H20</f>
        <v>0</v>
      </c>
      <c r="H29" s="84" t="str">
        <f>'📋 SOLDE MEMBRES'!I20</f>
        <v>✅ À jour</v>
      </c>
      <c r="I29" s="141"/>
      <c r="J29" s="105"/>
      <c r="K29" s="105"/>
      <c r="L29" s="105"/>
    </row>
    <row r="30" spans="1:12" ht="19.95" customHeight="1" x14ac:dyDescent="0.3">
      <c r="A30" s="17">
        <v>18</v>
      </c>
      <c r="B30" s="32">
        <f>'📋 SOLDE MEMBRES'!C21</f>
        <v>0</v>
      </c>
      <c r="C30" s="32">
        <f>'📋 SOLDE MEMBRES'!D21</f>
        <v>0</v>
      </c>
      <c r="D30" s="96">
        <f>'📋 SOLDE MEMBRES'!E21</f>
        <v>0</v>
      </c>
      <c r="E30" s="39">
        <f>'📋 SOLDE MEMBRES'!F21</f>
        <v>0</v>
      </c>
      <c r="F30" s="39">
        <f>'📋 SOLDE MEMBRES'!G21</f>
        <v>0</v>
      </c>
      <c r="G30" s="39">
        <f>'📋 SOLDE MEMBRES'!H21</f>
        <v>0</v>
      </c>
      <c r="H30" s="32" t="str">
        <f>'📋 SOLDE MEMBRES'!I21</f>
        <v>✅ À jour</v>
      </c>
      <c r="I30" s="138"/>
      <c r="J30" s="105"/>
      <c r="K30" s="105"/>
      <c r="L30" s="105"/>
    </row>
    <row r="31" spans="1:12" ht="19.95" customHeight="1" x14ac:dyDescent="0.3">
      <c r="A31" s="17">
        <v>19</v>
      </c>
      <c r="B31" s="84">
        <f>'📋 SOLDE MEMBRES'!C22</f>
        <v>0</v>
      </c>
      <c r="C31" s="84">
        <f>'📋 SOLDE MEMBRES'!D22</f>
        <v>0</v>
      </c>
      <c r="D31" s="94">
        <f>'📋 SOLDE MEMBRES'!E22</f>
        <v>0</v>
      </c>
      <c r="E31" s="95">
        <f>'📋 SOLDE MEMBRES'!F22</f>
        <v>0</v>
      </c>
      <c r="F31" s="95">
        <f>'📋 SOLDE MEMBRES'!G22</f>
        <v>0</v>
      </c>
      <c r="G31" s="95">
        <f>'📋 SOLDE MEMBRES'!H22</f>
        <v>0</v>
      </c>
      <c r="H31" s="84" t="str">
        <f>'📋 SOLDE MEMBRES'!I22</f>
        <v>✅ À jour</v>
      </c>
      <c r="I31" s="141"/>
      <c r="J31" s="105"/>
      <c r="K31" s="105"/>
      <c r="L31" s="105"/>
    </row>
    <row r="32" spans="1:12" ht="19.95" customHeight="1" x14ac:dyDescent="0.3">
      <c r="A32" s="17">
        <v>20</v>
      </c>
      <c r="B32" s="32">
        <f>'📋 SOLDE MEMBRES'!C23</f>
        <v>0</v>
      </c>
      <c r="C32" s="32">
        <f>'📋 SOLDE MEMBRES'!D23</f>
        <v>0</v>
      </c>
      <c r="D32" s="96">
        <f>'📋 SOLDE MEMBRES'!E23</f>
        <v>0</v>
      </c>
      <c r="E32" s="39">
        <f>'📋 SOLDE MEMBRES'!F23</f>
        <v>0</v>
      </c>
      <c r="F32" s="39">
        <f>'📋 SOLDE MEMBRES'!G23</f>
        <v>0</v>
      </c>
      <c r="G32" s="39">
        <f>'📋 SOLDE MEMBRES'!H23</f>
        <v>0</v>
      </c>
      <c r="H32" s="32" t="str">
        <f>'📋 SOLDE MEMBRES'!I23</f>
        <v>✅ À jour</v>
      </c>
      <c r="I32" s="138"/>
      <c r="J32" s="105"/>
      <c r="K32" s="105"/>
      <c r="L32" s="105"/>
    </row>
    <row r="33" spans="1:12" ht="19.95" customHeight="1" x14ac:dyDescent="0.3">
      <c r="A33" s="17">
        <v>21</v>
      </c>
      <c r="B33" s="84">
        <f>'📋 SOLDE MEMBRES'!C24</f>
        <v>0</v>
      </c>
      <c r="C33" s="84">
        <f>'📋 SOLDE MEMBRES'!D24</f>
        <v>0</v>
      </c>
      <c r="D33" s="94">
        <f>'📋 SOLDE MEMBRES'!E24</f>
        <v>0</v>
      </c>
      <c r="E33" s="95">
        <f>'📋 SOLDE MEMBRES'!F24</f>
        <v>0</v>
      </c>
      <c r="F33" s="95">
        <f>'📋 SOLDE MEMBRES'!G24</f>
        <v>0</v>
      </c>
      <c r="G33" s="95">
        <f>'📋 SOLDE MEMBRES'!H24</f>
        <v>0</v>
      </c>
      <c r="H33" s="84" t="str">
        <f>'📋 SOLDE MEMBRES'!I24</f>
        <v>✅ À jour</v>
      </c>
      <c r="I33" s="141"/>
      <c r="J33" s="105"/>
      <c r="K33" s="105"/>
      <c r="L33" s="105"/>
    </row>
    <row r="34" spans="1:12" ht="19.95" customHeight="1" x14ac:dyDescent="0.3">
      <c r="A34" s="17">
        <v>22</v>
      </c>
      <c r="B34" s="32">
        <f>'📋 SOLDE MEMBRES'!C25</f>
        <v>0</v>
      </c>
      <c r="C34" s="32">
        <f>'📋 SOLDE MEMBRES'!D25</f>
        <v>0</v>
      </c>
      <c r="D34" s="96">
        <f>'📋 SOLDE MEMBRES'!E25</f>
        <v>0</v>
      </c>
      <c r="E34" s="39">
        <f>'📋 SOLDE MEMBRES'!F25</f>
        <v>0</v>
      </c>
      <c r="F34" s="39">
        <f>'📋 SOLDE MEMBRES'!G25</f>
        <v>0</v>
      </c>
      <c r="G34" s="39">
        <f>'📋 SOLDE MEMBRES'!H25</f>
        <v>0</v>
      </c>
      <c r="H34" s="32" t="str">
        <f>'📋 SOLDE MEMBRES'!I25</f>
        <v>✅ À jour</v>
      </c>
      <c r="I34" s="138"/>
      <c r="J34" s="105"/>
      <c r="K34" s="105"/>
      <c r="L34" s="105"/>
    </row>
    <row r="35" spans="1:12" ht="19.95" customHeight="1" x14ac:dyDescent="0.3">
      <c r="A35" s="17">
        <v>23</v>
      </c>
      <c r="B35" s="84">
        <f>'📋 SOLDE MEMBRES'!C26</f>
        <v>0</v>
      </c>
      <c r="C35" s="84">
        <f>'📋 SOLDE MEMBRES'!D26</f>
        <v>0</v>
      </c>
      <c r="D35" s="94">
        <f>'📋 SOLDE MEMBRES'!E26</f>
        <v>0</v>
      </c>
      <c r="E35" s="95">
        <f>'📋 SOLDE MEMBRES'!F26</f>
        <v>0</v>
      </c>
      <c r="F35" s="95">
        <f>'📋 SOLDE MEMBRES'!G26</f>
        <v>0</v>
      </c>
      <c r="G35" s="95">
        <f>'📋 SOLDE MEMBRES'!H26</f>
        <v>0</v>
      </c>
      <c r="H35" s="84" t="str">
        <f>'📋 SOLDE MEMBRES'!I26</f>
        <v>✅ À jour</v>
      </c>
      <c r="I35" s="141"/>
      <c r="J35" s="105"/>
      <c r="K35" s="105"/>
      <c r="L35" s="105"/>
    </row>
    <row r="37" spans="1:12" ht="19.95" customHeight="1" x14ac:dyDescent="0.3"/>
    <row r="38" spans="1:12" ht="15.6" x14ac:dyDescent="0.3">
      <c r="A38" s="146" t="s">
        <v>146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</row>
    <row r="39" spans="1:12" ht="25.05" customHeight="1" x14ac:dyDescent="0.3">
      <c r="A39" s="97" t="s">
        <v>147</v>
      </c>
      <c r="B39" s="97" t="s">
        <v>148</v>
      </c>
      <c r="C39" s="97" t="s">
        <v>58</v>
      </c>
      <c r="D39" s="97" t="s">
        <v>59</v>
      </c>
      <c r="E39" s="97" t="s">
        <v>60</v>
      </c>
      <c r="F39" s="97" t="s">
        <v>61</v>
      </c>
      <c r="G39" s="97" t="s">
        <v>149</v>
      </c>
      <c r="H39" s="97" t="s">
        <v>63</v>
      </c>
      <c r="I39" s="97" t="s">
        <v>150</v>
      </c>
      <c r="J39" s="97" t="s">
        <v>151</v>
      </c>
      <c r="K39" s="97" t="s">
        <v>152</v>
      </c>
      <c r="L39" s="97" t="s">
        <v>153</v>
      </c>
    </row>
    <row r="40" spans="1:12" ht="30" customHeight="1" x14ac:dyDescent="0.3">
      <c r="A40" s="98">
        <f>SUM('💰 COTISATIONS'!E28:I28)</f>
        <v>0</v>
      </c>
      <c r="B40" s="98">
        <f>SUM('💰 COTISATIONS'!J28:M28)</f>
        <v>0</v>
      </c>
      <c r="C40" s="98">
        <f>SUM('💰 COTISATIONS'!N28:Q28)</f>
        <v>0</v>
      </c>
      <c r="D40" s="98">
        <f>SUM('💰 COTISATIONS'!R28:T28)</f>
        <v>0</v>
      </c>
      <c r="E40" s="98">
        <f>SUM('💰 COTISATIONS'!U28:X28)</f>
        <v>0</v>
      </c>
      <c r="F40" s="98">
        <f>SUM('💰 COTISATIONS'!Y28:AB28)</f>
        <v>0</v>
      </c>
      <c r="G40" s="98">
        <f>SUM('💰 COTISATIONS'!AC28:AF28)</f>
        <v>0</v>
      </c>
      <c r="H40" s="98">
        <f>SUM('💰 COTISATIONS'!AG28:AJ28)</f>
        <v>0</v>
      </c>
      <c r="I40" s="98">
        <f>SUM('💰 COTISATIONS'!AK28:AN28)</f>
        <v>0</v>
      </c>
      <c r="J40" s="98">
        <f>SUM('💰 COTISATIONS'!AO28:AR28)</f>
        <v>0</v>
      </c>
      <c r="K40" s="98">
        <f>SUM('💰 COTISATIONS'!AS28:AW28)</f>
        <v>0</v>
      </c>
      <c r="L40" s="98">
        <f>SUM('💰 COTISATIONS'!AX28:AZ28)</f>
        <v>0</v>
      </c>
    </row>
  </sheetData>
  <mergeCells count="52">
    <mergeCell ref="J4:L4"/>
    <mergeCell ref="I29:L29"/>
    <mergeCell ref="I19:L19"/>
    <mergeCell ref="I33:L33"/>
    <mergeCell ref="I13:L13"/>
    <mergeCell ref="J6:L6"/>
    <mergeCell ref="I14:L14"/>
    <mergeCell ref="G10:I10"/>
    <mergeCell ref="I17:L17"/>
    <mergeCell ref="G6:I6"/>
    <mergeCell ref="I31:L31"/>
    <mergeCell ref="I30:L30"/>
    <mergeCell ref="G4:I4"/>
    <mergeCell ref="I15:L15"/>
    <mergeCell ref="D8:F8"/>
    <mergeCell ref="I27:L27"/>
    <mergeCell ref="I21:L21"/>
    <mergeCell ref="I35:L35"/>
    <mergeCell ref="I20:L20"/>
    <mergeCell ref="I34:L34"/>
    <mergeCell ref="A38:L38"/>
    <mergeCell ref="I26:L26"/>
    <mergeCell ref="D5:F5"/>
    <mergeCell ref="A9:C9"/>
    <mergeCell ref="G9:I9"/>
    <mergeCell ref="J8:L8"/>
    <mergeCell ref="I16:L16"/>
    <mergeCell ref="I32:L32"/>
    <mergeCell ref="I25:L25"/>
    <mergeCell ref="D10:F10"/>
    <mergeCell ref="J5:L5"/>
    <mergeCell ref="I22:L22"/>
    <mergeCell ref="I28:L28"/>
    <mergeCell ref="J10:L10"/>
    <mergeCell ref="I18:L18"/>
    <mergeCell ref="A11:L11"/>
    <mergeCell ref="A1:L1"/>
    <mergeCell ref="A6:C6"/>
    <mergeCell ref="I12:L12"/>
    <mergeCell ref="G8:I8"/>
    <mergeCell ref="I24:L24"/>
    <mergeCell ref="J9:L9"/>
    <mergeCell ref="D6:F6"/>
    <mergeCell ref="I23:L23"/>
    <mergeCell ref="A2:L2"/>
    <mergeCell ref="A5:C5"/>
    <mergeCell ref="G5:I5"/>
    <mergeCell ref="A8:C8"/>
    <mergeCell ref="D4:F4"/>
    <mergeCell ref="A4:C4"/>
    <mergeCell ref="A10:C10"/>
    <mergeCell ref="D9:F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695C"/>
  </sheetPr>
  <dimension ref="A1:J25"/>
  <sheetViews>
    <sheetView showGridLines="0" workbookViewId="0">
      <selection activeCell="G10" sqref="G10"/>
    </sheetView>
  </sheetViews>
  <sheetFormatPr baseColWidth="10" defaultColWidth="8.88671875" defaultRowHeight="14.4" x14ac:dyDescent="0.3"/>
  <cols>
    <col min="1" max="1" width="6" customWidth="1"/>
    <col min="2" max="2" width="8" customWidth="1"/>
    <col min="3" max="3" width="16" customWidth="1"/>
    <col min="4" max="4" width="20" customWidth="1"/>
    <col min="5" max="5" width="16" customWidth="1"/>
    <col min="6" max="6" width="24" customWidth="1"/>
    <col min="7" max="7" width="10" customWidth="1"/>
    <col min="8" max="8" width="16" customWidth="1"/>
    <col min="9" max="9" width="15" customWidth="1"/>
    <col min="10" max="10" width="14" customWidth="1"/>
  </cols>
  <sheetData>
    <row r="1" spans="1:10" ht="40.049999999999997" customHeight="1" x14ac:dyDescent="0.3">
      <c r="A1" s="132" t="s">
        <v>157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30" customHeight="1" x14ac:dyDescent="0.3">
      <c r="A2" s="23" t="s">
        <v>126</v>
      </c>
      <c r="B2" s="23" t="s">
        <v>92</v>
      </c>
      <c r="C2" s="23" t="s">
        <v>42</v>
      </c>
      <c r="D2" s="23" t="s">
        <v>43</v>
      </c>
      <c r="E2" s="23" t="s">
        <v>44</v>
      </c>
      <c r="F2" s="23" t="s">
        <v>45</v>
      </c>
      <c r="G2" s="23" t="s">
        <v>46</v>
      </c>
      <c r="H2" s="23" t="s">
        <v>154</v>
      </c>
      <c r="I2" s="23" t="s">
        <v>48</v>
      </c>
      <c r="J2" s="23" t="s">
        <v>155</v>
      </c>
    </row>
    <row r="3" spans="1:10" ht="22.05" customHeight="1" x14ac:dyDescent="0.3">
      <c r="A3" s="17">
        <v>1</v>
      </c>
      <c r="B3" s="17"/>
      <c r="C3" s="84"/>
      <c r="D3" s="84"/>
      <c r="E3" s="84"/>
      <c r="F3" s="99"/>
      <c r="G3" s="99"/>
      <c r="H3" s="99"/>
      <c r="I3" s="84"/>
      <c r="J3" s="84"/>
    </row>
    <row r="4" spans="1:10" ht="22.05" customHeight="1" x14ac:dyDescent="0.3">
      <c r="A4" s="17">
        <v>2</v>
      </c>
      <c r="B4" s="17"/>
      <c r="C4" s="32"/>
      <c r="D4" s="32"/>
      <c r="E4" s="32"/>
      <c r="F4" s="34"/>
      <c r="G4" s="34"/>
      <c r="H4" s="34"/>
      <c r="I4" s="32"/>
      <c r="J4" s="32"/>
    </row>
    <row r="5" spans="1:10" ht="22.05" customHeight="1" x14ac:dyDescent="0.3">
      <c r="A5" s="17">
        <v>3</v>
      </c>
      <c r="B5" s="17"/>
      <c r="C5" s="84"/>
      <c r="D5" s="84"/>
      <c r="E5" s="84"/>
      <c r="F5" s="99"/>
      <c r="G5" s="99"/>
      <c r="H5" s="99"/>
      <c r="I5" s="84"/>
      <c r="J5" s="84"/>
    </row>
    <row r="6" spans="1:10" ht="22.05" customHeight="1" x14ac:dyDescent="0.3">
      <c r="A6" s="17">
        <v>4</v>
      </c>
      <c r="B6" s="17"/>
      <c r="C6" s="32"/>
      <c r="D6" s="32"/>
      <c r="E6" s="32"/>
      <c r="F6" s="34"/>
      <c r="G6" s="34"/>
      <c r="H6" s="34"/>
      <c r="I6" s="32"/>
      <c r="J6" s="32"/>
    </row>
    <row r="7" spans="1:10" ht="22.05" customHeight="1" x14ac:dyDescent="0.3">
      <c r="A7" s="17">
        <v>5</v>
      </c>
      <c r="B7" s="17"/>
      <c r="C7" s="84"/>
      <c r="D7" s="84"/>
      <c r="E7" s="84"/>
      <c r="F7" s="99"/>
      <c r="G7" s="99"/>
      <c r="H7" s="99"/>
      <c r="I7" s="84"/>
      <c r="J7" s="84"/>
    </row>
    <row r="8" spans="1:10" ht="22.05" customHeight="1" x14ac:dyDescent="0.3">
      <c r="A8" s="17">
        <v>6</v>
      </c>
      <c r="B8" s="17"/>
      <c r="C8" s="32"/>
      <c r="D8" s="32"/>
      <c r="E8" s="32"/>
      <c r="F8" s="34"/>
      <c r="G8" s="34"/>
      <c r="H8" s="34"/>
      <c r="I8" s="32"/>
      <c r="J8" s="32"/>
    </row>
    <row r="9" spans="1:10" ht="22.05" customHeight="1" x14ac:dyDescent="0.3">
      <c r="A9" s="17">
        <v>7</v>
      </c>
      <c r="B9" s="17"/>
      <c r="C9" s="84"/>
      <c r="D9" s="84"/>
      <c r="E9" s="84"/>
      <c r="F9" s="99"/>
      <c r="G9" s="99"/>
      <c r="H9" s="99"/>
      <c r="I9" s="84"/>
      <c r="J9" s="84"/>
    </row>
    <row r="10" spans="1:10" ht="22.05" customHeight="1" x14ac:dyDescent="0.3">
      <c r="A10" s="17">
        <v>8</v>
      </c>
      <c r="B10" s="17"/>
      <c r="C10" s="32"/>
      <c r="D10" s="32"/>
      <c r="E10" s="32"/>
      <c r="F10" s="34"/>
      <c r="G10" s="34"/>
      <c r="H10" s="34"/>
      <c r="I10" s="32"/>
      <c r="J10" s="32"/>
    </row>
    <row r="11" spans="1:10" ht="22.05" customHeight="1" x14ac:dyDescent="0.3">
      <c r="A11" s="17">
        <v>9</v>
      </c>
      <c r="B11" s="17"/>
      <c r="C11" s="84"/>
      <c r="D11" s="84"/>
      <c r="E11" s="84"/>
      <c r="F11" s="99"/>
      <c r="G11" s="99"/>
      <c r="H11" s="99"/>
      <c r="I11" s="84"/>
      <c r="J11" s="84"/>
    </row>
    <row r="12" spans="1:10" ht="22.05" customHeight="1" x14ac:dyDescent="0.3">
      <c r="A12" s="17">
        <v>10</v>
      </c>
      <c r="B12" s="17"/>
      <c r="C12" s="32"/>
      <c r="D12" s="32"/>
      <c r="E12" s="32"/>
      <c r="F12" s="34"/>
      <c r="G12" s="34"/>
      <c r="H12" s="34"/>
      <c r="I12" s="32"/>
      <c r="J12" s="32"/>
    </row>
    <row r="13" spans="1:10" ht="22.05" customHeight="1" x14ac:dyDescent="0.3">
      <c r="A13" s="17">
        <v>11</v>
      </c>
      <c r="B13" s="17"/>
      <c r="C13" s="84"/>
      <c r="D13" s="84"/>
      <c r="E13" s="84"/>
      <c r="F13" s="99"/>
      <c r="G13" s="99"/>
      <c r="H13" s="99"/>
      <c r="I13" s="84"/>
      <c r="J13" s="84"/>
    </row>
    <row r="14" spans="1:10" ht="22.05" customHeight="1" x14ac:dyDescent="0.3">
      <c r="A14" s="17">
        <v>12</v>
      </c>
      <c r="B14" s="17"/>
      <c r="C14" s="32"/>
      <c r="D14" s="32"/>
      <c r="E14" s="32"/>
      <c r="F14" s="34"/>
      <c r="G14" s="34"/>
      <c r="H14" s="34"/>
      <c r="I14" s="32"/>
      <c r="J14" s="32"/>
    </row>
    <row r="15" spans="1:10" ht="22.05" customHeight="1" x14ac:dyDescent="0.3">
      <c r="A15" s="17">
        <v>13</v>
      </c>
      <c r="B15" s="17"/>
      <c r="C15" s="84"/>
      <c r="D15" s="84"/>
      <c r="E15" s="84"/>
      <c r="F15" s="99"/>
      <c r="G15" s="99"/>
      <c r="H15" s="99"/>
      <c r="I15" s="84"/>
      <c r="J15" s="84"/>
    </row>
    <row r="16" spans="1:10" ht="22.05" customHeight="1" x14ac:dyDescent="0.3">
      <c r="A16" s="17">
        <v>14</v>
      </c>
      <c r="B16" s="17"/>
      <c r="C16" s="32"/>
      <c r="D16" s="32"/>
      <c r="E16" s="32"/>
      <c r="F16" s="34"/>
      <c r="G16" s="34"/>
      <c r="H16" s="34"/>
      <c r="I16" s="32"/>
      <c r="J16" s="32"/>
    </row>
    <row r="17" spans="1:10" ht="22.05" customHeight="1" x14ac:dyDescent="0.3">
      <c r="A17" s="17">
        <v>15</v>
      </c>
      <c r="B17" s="17"/>
      <c r="C17" s="84"/>
      <c r="D17" s="84"/>
      <c r="E17" s="84"/>
      <c r="F17" s="99"/>
      <c r="G17" s="99"/>
      <c r="H17" s="99"/>
      <c r="I17" s="84"/>
      <c r="J17" s="84"/>
    </row>
    <row r="18" spans="1:10" ht="22.05" customHeight="1" x14ac:dyDescent="0.3">
      <c r="A18" s="17">
        <v>16</v>
      </c>
      <c r="B18" s="17"/>
      <c r="C18" s="32"/>
      <c r="D18" s="32"/>
      <c r="E18" s="32"/>
      <c r="F18" s="34"/>
      <c r="G18" s="34"/>
      <c r="H18" s="34"/>
      <c r="I18" s="32"/>
      <c r="J18" s="32"/>
    </row>
    <row r="19" spans="1:10" ht="22.05" customHeight="1" x14ac:dyDescent="0.3">
      <c r="A19" s="17">
        <v>17</v>
      </c>
      <c r="B19" s="17"/>
      <c r="C19" s="84"/>
      <c r="D19" s="84"/>
      <c r="E19" s="84"/>
      <c r="F19" s="99"/>
      <c r="G19" s="99"/>
      <c r="H19" s="99"/>
      <c r="I19" s="84"/>
      <c r="J19" s="84"/>
    </row>
    <row r="20" spans="1:10" ht="22.05" customHeight="1" x14ac:dyDescent="0.3">
      <c r="A20" s="17">
        <v>18</v>
      </c>
      <c r="B20" s="17"/>
      <c r="C20" s="32"/>
      <c r="D20" s="32"/>
      <c r="E20" s="32"/>
      <c r="F20" s="34"/>
      <c r="G20" s="34"/>
      <c r="H20" s="34"/>
      <c r="I20" s="32"/>
      <c r="J20" s="32"/>
    </row>
    <row r="21" spans="1:10" ht="22.05" customHeight="1" x14ac:dyDescent="0.3">
      <c r="A21" s="17">
        <v>19</v>
      </c>
      <c r="B21" s="17"/>
      <c r="C21" s="84"/>
      <c r="D21" s="84"/>
      <c r="E21" s="84"/>
      <c r="F21" s="99"/>
      <c r="G21" s="99"/>
      <c r="H21" s="99"/>
      <c r="I21" s="84"/>
      <c r="J21" s="84"/>
    </row>
    <row r="22" spans="1:10" ht="22.05" customHeight="1" x14ac:dyDescent="0.3">
      <c r="A22" s="17">
        <v>20</v>
      </c>
      <c r="B22" s="17"/>
      <c r="C22" s="32"/>
      <c r="D22" s="32"/>
      <c r="E22" s="32"/>
      <c r="F22" s="34"/>
      <c r="G22" s="34"/>
      <c r="H22" s="34"/>
      <c r="I22" s="32"/>
      <c r="J22" s="32"/>
    </row>
    <row r="23" spans="1:10" ht="22.05" customHeight="1" x14ac:dyDescent="0.3">
      <c r="A23" s="17">
        <v>21</v>
      </c>
      <c r="B23" s="17"/>
      <c r="C23" s="84"/>
      <c r="D23" s="84"/>
      <c r="E23" s="84"/>
      <c r="F23" s="99"/>
      <c r="G23" s="99"/>
      <c r="H23" s="99"/>
      <c r="I23" s="84"/>
      <c r="J23" s="84"/>
    </row>
    <row r="24" spans="1:10" ht="22.05" customHeight="1" x14ac:dyDescent="0.3">
      <c r="A24" s="17">
        <v>22</v>
      </c>
      <c r="B24" s="17"/>
      <c r="C24" s="32"/>
      <c r="D24" s="32"/>
      <c r="E24" s="32"/>
      <c r="F24" s="34"/>
      <c r="G24" s="34"/>
      <c r="H24" s="34"/>
      <c r="I24" s="32"/>
      <c r="J24" s="32"/>
    </row>
    <row r="25" spans="1:10" ht="22.05" customHeight="1" x14ac:dyDescent="0.3">
      <c r="A25" s="17">
        <v>23</v>
      </c>
      <c r="B25" s="17"/>
      <c r="C25" s="84"/>
      <c r="D25" s="84"/>
      <c r="E25" s="84"/>
      <c r="F25" s="99"/>
      <c r="G25" s="99"/>
      <c r="H25" s="99"/>
      <c r="I25" s="84"/>
      <c r="J25" s="84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🏠 ACCUEIL</vt:lpstr>
      <vt:lpstr>⚙️ PARAMÈTRES</vt:lpstr>
      <vt:lpstr>👥 MEMBRES</vt:lpstr>
      <vt:lpstr>💰 COTISATIONS</vt:lpstr>
      <vt:lpstr>🏦 PRÊTS</vt:lpstr>
      <vt:lpstr>🔄 REMBOURSEMENTS</vt:lpstr>
      <vt:lpstr>⚠️ PÉNALITÉS</vt:lpstr>
      <vt:lpstr>🏧 CAISSE</vt:lpstr>
      <vt:lpstr>📋 SOLDE MEMBRES</vt:lpstr>
      <vt:lpstr>📊 TABLEAU DE BORD</vt:lpstr>
      <vt:lpstr>🪪 IDENTITÉ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Jaures Ayitondji</cp:lastModifiedBy>
  <dcterms:created xsi:type="dcterms:W3CDTF">2026-03-13T13:44:08Z</dcterms:created>
  <dcterms:modified xsi:type="dcterms:W3CDTF">2026-05-14T22:47:29Z</dcterms:modified>
</cp:coreProperties>
</file>